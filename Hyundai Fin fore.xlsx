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him\Documents\Fin anala\"/>
    </mc:Choice>
  </mc:AlternateContent>
  <xr:revisionPtr revIDLastSave="0" documentId="13_ncr:1_{A881D9B5-40CB-4C0B-882C-A10BF41F4469}" xr6:coauthVersionLast="47" xr6:coauthVersionMax="47" xr10:uidLastSave="{00000000-0000-0000-0000-000000000000}"/>
  <bookViews>
    <workbookView xWindow="-120" yWindow="-120" windowWidth="29040" windowHeight="15720" activeTab="2" xr2:uid="{30F715D8-8CD1-4FB0-83A8-C93EEBC70D55}"/>
  </bookViews>
  <sheets>
    <sheet name="Balance Sheet" sheetId="1" r:id="rId1"/>
    <sheet name="P&amp;L" sheetId="2" r:id="rId2"/>
    <sheet name="Ratio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6" l="1"/>
  <c r="D35" i="6"/>
  <c r="E35" i="6"/>
  <c r="F35" i="6"/>
  <c r="C36" i="6"/>
  <c r="D36" i="6"/>
  <c r="E36" i="6"/>
  <c r="F36" i="6"/>
  <c r="C37" i="6"/>
  <c r="D37" i="6"/>
  <c r="E37" i="6"/>
  <c r="F37" i="6"/>
  <c r="C38" i="6"/>
  <c r="D38" i="6"/>
  <c r="E38" i="6"/>
  <c r="F38" i="6"/>
  <c r="C39" i="6"/>
  <c r="D39" i="6"/>
  <c r="E39" i="6"/>
  <c r="F39" i="6"/>
  <c r="C40" i="6"/>
  <c r="D40" i="6"/>
  <c r="E40" i="6"/>
  <c r="F40" i="6"/>
  <c r="C41" i="6"/>
  <c r="D41" i="6"/>
  <c r="E41" i="6"/>
  <c r="F41" i="6"/>
  <c r="C42" i="6"/>
  <c r="D42" i="6"/>
  <c r="E42" i="6"/>
  <c r="F42" i="6"/>
  <c r="C17" i="6"/>
  <c r="D17" i="6"/>
  <c r="D24" i="6" l="1"/>
  <c r="D30" i="6" s="1"/>
  <c r="E24" i="6"/>
  <c r="E30" i="6" s="1"/>
  <c r="F24" i="6"/>
  <c r="F30" i="6" s="1"/>
  <c r="C24" i="6"/>
  <c r="C30" i="6" s="1"/>
  <c r="D23" i="6"/>
  <c r="D29" i="6" s="1"/>
  <c r="E23" i="6"/>
  <c r="E29" i="6" s="1"/>
  <c r="F23" i="6"/>
  <c r="F29" i="6" s="1"/>
  <c r="C23" i="6"/>
  <c r="C29" i="6" s="1"/>
  <c r="D22" i="6"/>
  <c r="D28" i="6" s="1"/>
  <c r="E22" i="6"/>
  <c r="E28" i="6" s="1"/>
  <c r="F22" i="6"/>
  <c r="F28" i="6" s="1"/>
  <c r="C22" i="6"/>
  <c r="C28" i="6" s="1"/>
  <c r="D21" i="6"/>
  <c r="E21" i="6"/>
  <c r="F21" i="6"/>
  <c r="C21" i="6"/>
  <c r="E17" i="6"/>
  <c r="F17" i="6"/>
  <c r="C27" i="2" l="1"/>
  <c r="D27" i="2"/>
  <c r="E27" i="2"/>
  <c r="B27" i="2"/>
  <c r="B9" i="2"/>
  <c r="B20" i="2" s="1"/>
  <c r="B33" i="2" s="1"/>
  <c r="C21" i="2"/>
  <c r="C32" i="2" s="1"/>
  <c r="D8" i="6" s="1"/>
  <c r="D21" i="2"/>
  <c r="D32" i="2" s="1"/>
  <c r="E8" i="6" s="1"/>
  <c r="E21" i="2"/>
  <c r="E32" i="2" s="1"/>
  <c r="F8" i="6" s="1"/>
  <c r="B21" i="2"/>
  <c r="B32" i="2" s="1"/>
  <c r="C8" i="6" s="1"/>
  <c r="C9" i="2"/>
  <c r="C20" i="2" s="1"/>
  <c r="C33" i="2" s="1"/>
  <c r="D9" i="2"/>
  <c r="D20" i="2" s="1"/>
  <c r="D33" i="2" s="1"/>
  <c r="E9" i="2"/>
  <c r="E20" i="2" s="1"/>
  <c r="E33" i="2" s="1"/>
  <c r="D28" i="1"/>
  <c r="C56" i="1"/>
  <c r="D56" i="1"/>
  <c r="E56" i="1"/>
  <c r="C43" i="1"/>
  <c r="D43" i="1"/>
  <c r="E43" i="1"/>
  <c r="E34" i="1"/>
  <c r="C34" i="1"/>
  <c r="D34" i="1"/>
  <c r="B34" i="1"/>
  <c r="E28" i="1"/>
  <c r="D17" i="1"/>
  <c r="E17" i="1"/>
  <c r="C28" i="1"/>
  <c r="C17" i="1"/>
  <c r="B56" i="1"/>
  <c r="B43" i="1"/>
  <c r="B28" i="1"/>
  <c r="B17" i="1"/>
  <c r="C14" i="6" l="1"/>
  <c r="C18" i="6"/>
  <c r="D14" i="6"/>
  <c r="D18" i="6"/>
  <c r="C9" i="6"/>
  <c r="D9" i="6"/>
  <c r="F14" i="6"/>
  <c r="F18" i="6"/>
  <c r="F9" i="6"/>
  <c r="E18" i="6"/>
  <c r="E14" i="6"/>
  <c r="E9" i="6"/>
  <c r="E22" i="2"/>
  <c r="E28" i="2" s="1"/>
  <c r="D22" i="2"/>
  <c r="D28" i="2" s="1"/>
  <c r="C22" i="2"/>
  <c r="C28" i="2" s="1"/>
  <c r="D13" i="6" s="1"/>
  <c r="B22" i="2"/>
  <c r="B30" i="2" s="1"/>
  <c r="B29" i="1"/>
  <c r="B57" i="1"/>
  <c r="B58" i="1" s="1"/>
  <c r="E29" i="1"/>
  <c r="D57" i="1"/>
  <c r="D58" i="1" s="1"/>
  <c r="E57" i="1"/>
  <c r="E58" i="1" s="1"/>
  <c r="C57" i="1"/>
  <c r="C58" i="1" s="1"/>
  <c r="C29" i="1"/>
  <c r="D29" i="1"/>
  <c r="D60" i="1" s="1"/>
  <c r="C30" i="2" l="1"/>
  <c r="D10" i="6"/>
  <c r="D32" i="6" s="1"/>
  <c r="F13" i="6"/>
  <c r="F10" i="6"/>
  <c r="F32" i="6" s="1"/>
  <c r="E10" i="6"/>
  <c r="E32" i="6" s="1"/>
  <c r="E13" i="6"/>
  <c r="D30" i="2"/>
  <c r="E30" i="2"/>
  <c r="B28" i="2"/>
  <c r="C13" i="6" s="1"/>
  <c r="B60" i="1"/>
  <c r="C60" i="1"/>
  <c r="E60" i="1"/>
  <c r="C10" i="6" l="1"/>
  <c r="C32" i="6" s="1"/>
</calcChain>
</file>

<file path=xl/sharedStrings.xml><?xml version="1.0" encoding="utf-8"?>
<sst xmlns="http://schemas.openxmlformats.org/spreadsheetml/2006/main" count="126" uniqueCount="109">
  <si>
    <t>Particulars</t>
  </si>
  <si>
    <t>Assets</t>
  </si>
  <si>
    <t>Non-current assets</t>
  </si>
  <si>
    <t>Property, plant and equipment</t>
  </si>
  <si>
    <t>Capital work in progress</t>
  </si>
  <si>
    <t>Intangible assets</t>
  </si>
  <si>
    <t>Right of use assets</t>
  </si>
  <si>
    <t>Financial assets</t>
  </si>
  <si>
    <t>Other Financial assets</t>
  </si>
  <si>
    <t>Deferred tax asset (net)</t>
  </si>
  <si>
    <t>Non-current tax assets (net)</t>
  </si>
  <si>
    <t>Other non current assets</t>
  </si>
  <si>
    <t>Total non current assets</t>
  </si>
  <si>
    <t>Current assets</t>
  </si>
  <si>
    <t>Inventories</t>
  </si>
  <si>
    <t>Trade receivables</t>
  </si>
  <si>
    <t>Cash and cash equivalents</t>
  </si>
  <si>
    <t>Loans</t>
  </si>
  <si>
    <t>Other current assets</t>
  </si>
  <si>
    <t>Total curent assets</t>
  </si>
  <si>
    <t>Total assets</t>
  </si>
  <si>
    <t>Equity</t>
  </si>
  <si>
    <t>Equity share capital</t>
  </si>
  <si>
    <t>Total equity</t>
  </si>
  <si>
    <t>Liabilities</t>
  </si>
  <si>
    <t>Non-current liabilities</t>
  </si>
  <si>
    <t>Financial liabilities</t>
  </si>
  <si>
    <t>Borrowings</t>
  </si>
  <si>
    <t>Lease liabilities</t>
  </si>
  <si>
    <t>Provisions</t>
  </si>
  <si>
    <t>Other non-current liabilities</t>
  </si>
  <si>
    <t>Total non current liabilities</t>
  </si>
  <si>
    <t>Current liabilities</t>
  </si>
  <si>
    <t>Trade payables</t>
  </si>
  <si>
    <t>Payables Creditors</t>
  </si>
  <si>
    <t>Payables MSME's</t>
  </si>
  <si>
    <t>Other Financial liabilities</t>
  </si>
  <si>
    <t>Other current liabilities</t>
  </si>
  <si>
    <t>Current tax liabilities (net)</t>
  </si>
  <si>
    <t>Total current liabilities</t>
  </si>
  <si>
    <t>Total liabilities</t>
  </si>
  <si>
    <t>Total equity and liabilities</t>
  </si>
  <si>
    <t>Bank balance other than above</t>
  </si>
  <si>
    <t>Retained earnings</t>
  </si>
  <si>
    <t>Accounting equation Check</t>
  </si>
  <si>
    <t xml:space="preserve">Hyundai </t>
  </si>
  <si>
    <t>Hyundai</t>
  </si>
  <si>
    <t>Income</t>
  </si>
  <si>
    <t>Total income</t>
  </si>
  <si>
    <t>Expenses</t>
  </si>
  <si>
    <t>Total Expenses</t>
  </si>
  <si>
    <t>Other income</t>
  </si>
  <si>
    <t xml:space="preserve">Cost of materials </t>
  </si>
  <si>
    <t>Purchase of stock in trade</t>
  </si>
  <si>
    <t>Work in progress</t>
  </si>
  <si>
    <t>Employee benefit expense</t>
  </si>
  <si>
    <t>Finance cost</t>
  </si>
  <si>
    <t>Depreciation and amortisation expense</t>
  </si>
  <si>
    <t>Other expenses</t>
  </si>
  <si>
    <t>Cost of vehicles for own use</t>
  </si>
  <si>
    <t>Profit Before Tax</t>
  </si>
  <si>
    <t>Tax Expense</t>
  </si>
  <si>
    <t>Current tax</t>
  </si>
  <si>
    <t>Defered tax (net)</t>
  </si>
  <si>
    <t>Total tax expense</t>
  </si>
  <si>
    <t>Effective tax rate</t>
  </si>
  <si>
    <t>Operating profit</t>
  </si>
  <si>
    <t>Revenue from operations / Revenue from operations</t>
  </si>
  <si>
    <t>EBIT</t>
  </si>
  <si>
    <t>EBITDA</t>
  </si>
  <si>
    <t>Profitability Ratios</t>
  </si>
  <si>
    <t>OPM</t>
  </si>
  <si>
    <t>EBIT margin</t>
  </si>
  <si>
    <t>NPM</t>
  </si>
  <si>
    <t xml:space="preserve"> </t>
  </si>
  <si>
    <t>Net profit / Total revenue</t>
  </si>
  <si>
    <t>EBIT / Total revenue</t>
  </si>
  <si>
    <t>Operating profit / Revenue from operations</t>
  </si>
  <si>
    <t>Return Ratios</t>
  </si>
  <si>
    <t>Return on equity</t>
  </si>
  <si>
    <t>Return on capital emloyed</t>
  </si>
  <si>
    <t>NP / Equity</t>
  </si>
  <si>
    <t>EBIT / (Equity + Debt)</t>
  </si>
  <si>
    <t>Debt ratios</t>
  </si>
  <si>
    <t>Debt / Equity</t>
  </si>
  <si>
    <t>Interest coverage ratio</t>
  </si>
  <si>
    <t>Turnover ratio</t>
  </si>
  <si>
    <t>Total asset turnover</t>
  </si>
  <si>
    <t>Recieveable turnover</t>
  </si>
  <si>
    <t>Inventory turnover</t>
  </si>
  <si>
    <t>Payable turnover</t>
  </si>
  <si>
    <t>Total borrowings / Equity</t>
  </si>
  <si>
    <t>EBIT / Finance costs</t>
  </si>
  <si>
    <t>Sales / Recieveable</t>
  </si>
  <si>
    <t>Sales / Total Assets</t>
  </si>
  <si>
    <t>Sales / Inventory</t>
  </si>
  <si>
    <t>Sales / Payable</t>
  </si>
  <si>
    <t>Working capital (days sale outstanding)</t>
  </si>
  <si>
    <t>Recieveable days</t>
  </si>
  <si>
    <t>Inventory days</t>
  </si>
  <si>
    <t>Payable Days</t>
  </si>
  <si>
    <t>Dupont analysis</t>
  </si>
  <si>
    <t>365 / Revieveable turnover ratio</t>
  </si>
  <si>
    <t>365 / Inventory turnover ratio</t>
  </si>
  <si>
    <t>365 / Payable turnover ratio</t>
  </si>
  <si>
    <t>Profit after tax</t>
  </si>
  <si>
    <t>Formulas</t>
  </si>
  <si>
    <t>NPM * Asset turnover ratio * Leverage factor (Assets/Equity)</t>
  </si>
  <si>
    <t>Cost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</si>
</sst>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8"/>
      <color theme="3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1"/>
      <color theme="1"/>
      <name val="Cambria"/>
      <family val="1"/>
    </font>
    <font>
      <b/>
      <sz val="12"/>
      <color theme="2" tint="-0.499984740745262"/>
      <name val="Cambria"/>
      <family val="1"/>
    </font>
    <font>
      <b/>
      <sz val="11"/>
      <color theme="1" tint="4.9989318521683403E-2"/>
      <name val="Cambria"/>
      <family val="1"/>
    </font>
    <font>
      <b/>
      <sz val="10"/>
      <color theme="1"/>
      <name val="Cambria"/>
      <family val="1"/>
    </font>
    <font>
      <b/>
      <sz val="14"/>
      <color theme="1" tint="4.9989318521683403E-2"/>
      <name val="Cambria"/>
      <family val="1"/>
    </font>
    <font>
      <b/>
      <sz val="13"/>
      <color theme="3"/>
      <name val="Cambria"/>
      <family val="1"/>
    </font>
    <font>
      <b/>
      <i/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ck">
        <color theme="4" tint="0.499984740745262"/>
      </top>
      <bottom/>
      <diagonal/>
    </border>
    <border>
      <left/>
      <right/>
      <top style="thick">
        <color theme="4" tint="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</cellStyleXfs>
  <cellXfs count="49">
    <xf numFmtId="0" fontId="0" fillId="0" borderId="0" xfId="0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6" fillId="0" borderId="0" xfId="0" applyFont="1"/>
    <xf numFmtId="165" fontId="6" fillId="0" borderId="0" xfId="0" applyNumberFormat="1" applyFont="1"/>
    <xf numFmtId="165" fontId="9" fillId="2" borderId="3" xfId="5" applyNumberFormat="1" applyFont="1"/>
    <xf numFmtId="0" fontId="8" fillId="0" borderId="0" xfId="0" applyFont="1"/>
    <xf numFmtId="0" fontId="6" fillId="0" borderId="0" xfId="0" applyFont="1" applyAlignment="1">
      <alignment horizontal="left" indent="2"/>
    </xf>
    <xf numFmtId="0" fontId="10" fillId="0" borderId="0" xfId="0" applyFont="1"/>
    <xf numFmtId="0" fontId="11" fillId="0" borderId="0" xfId="0" applyFont="1"/>
    <xf numFmtId="0" fontId="12" fillId="0" borderId="0" xfId="0" applyFont="1"/>
    <xf numFmtId="165" fontId="6" fillId="0" borderId="0" xfId="1" applyNumberFormat="1" applyFont="1"/>
    <xf numFmtId="165" fontId="8" fillId="0" borderId="0" xfId="1" applyNumberFormat="1" applyFont="1"/>
    <xf numFmtId="0" fontId="13" fillId="3" borderId="2" xfId="4" applyFont="1" applyFill="1"/>
    <xf numFmtId="9" fontId="14" fillId="0" borderId="0" xfId="2" applyFont="1"/>
    <xf numFmtId="0" fontId="5" fillId="0" borderId="0" xfId="3" applyFont="1" applyBorder="1" applyAlignment="1">
      <alignment horizontal="center"/>
    </xf>
    <xf numFmtId="0" fontId="6" fillId="0" borderId="0" xfId="0" applyFont="1" applyAlignment="1">
      <alignment horizontal="left" wrapText="1" indent="2"/>
    </xf>
    <xf numFmtId="164" fontId="6" fillId="0" borderId="0" xfId="0" applyNumberFormat="1" applyFont="1"/>
    <xf numFmtId="165" fontId="8" fillId="0" borderId="0" xfId="0" applyNumberFormat="1" applyFont="1"/>
    <xf numFmtId="165" fontId="6" fillId="0" borderId="0" xfId="1" applyNumberFormat="1" applyFont="1" applyBorder="1"/>
    <xf numFmtId="165" fontId="8" fillId="0" borderId="0" xfId="1" applyNumberFormat="1" applyFont="1" applyBorder="1"/>
    <xf numFmtId="0" fontId="6" fillId="0" borderId="0" xfId="0" applyFont="1" applyBorder="1"/>
    <xf numFmtId="0" fontId="7" fillId="0" borderId="0" xfId="0" applyFont="1" applyBorder="1" applyAlignment="1"/>
    <xf numFmtId="165" fontId="6" fillId="0" borderId="0" xfId="0" applyNumberFormat="1" applyFont="1" applyBorder="1"/>
    <xf numFmtId="0" fontId="0" fillId="0" borderId="0" xfId="0" applyBorder="1"/>
    <xf numFmtId="165" fontId="7" fillId="0" borderId="0" xfId="0" applyNumberFormat="1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165" fontId="8" fillId="0" borderId="0" xfId="0" applyNumberFormat="1" applyFont="1" applyBorder="1"/>
    <xf numFmtId="165" fontId="6" fillId="0" borderId="0" xfId="0" applyNumberFormat="1" applyFont="1" applyBorder="1" applyAlignment="1">
      <alignment horizontal="left" indent="2"/>
    </xf>
    <xf numFmtId="165" fontId="6" fillId="0" borderId="0" xfId="0" applyNumberFormat="1" applyFont="1" applyBorder="1" applyAlignment="1">
      <alignment horizontal="left"/>
    </xf>
    <xf numFmtId="165" fontId="8" fillId="0" borderId="0" xfId="0" applyNumberFormat="1" applyFont="1" applyBorder="1" applyAlignment="1">
      <alignment horizontal="left"/>
    </xf>
    <xf numFmtId="165" fontId="7" fillId="0" borderId="0" xfId="0" applyNumberFormat="1" applyFont="1" applyBorder="1" applyAlignment="1">
      <alignment horizontal="left"/>
    </xf>
    <xf numFmtId="165" fontId="6" fillId="0" borderId="0" xfId="0" applyNumberFormat="1" applyFont="1" applyBorder="1" applyAlignment="1">
      <alignment horizontal="left" indent="3"/>
    </xf>
    <xf numFmtId="0" fontId="8" fillId="0" borderId="0" xfId="0" applyFont="1" applyAlignment="1">
      <alignment wrapText="1"/>
    </xf>
    <xf numFmtId="9" fontId="6" fillId="0" borderId="0" xfId="2" applyFont="1"/>
    <xf numFmtId="164" fontId="6" fillId="0" borderId="0" xfId="1" applyNumberFormat="1" applyFont="1"/>
    <xf numFmtId="0" fontId="7" fillId="0" borderId="0" xfId="0" applyFont="1" applyBorder="1" applyAlignment="1">
      <alignment horizontal="left"/>
    </xf>
    <xf numFmtId="9" fontId="6" fillId="0" borderId="0" xfId="2" applyFont="1" applyBorder="1"/>
    <xf numFmtId="0" fontId="6" fillId="0" borderId="6" xfId="0" applyFont="1" applyBorder="1"/>
    <xf numFmtId="9" fontId="6" fillId="0" borderId="6" xfId="2" applyFont="1" applyBorder="1"/>
    <xf numFmtId="9" fontId="6" fillId="0" borderId="6" xfId="2" applyNumberFormat="1" applyFont="1" applyBorder="1"/>
    <xf numFmtId="164" fontId="6" fillId="0" borderId="6" xfId="1" applyNumberFormat="1" applyFont="1" applyBorder="1"/>
    <xf numFmtId="0" fontId="8" fillId="0" borderId="6" xfId="0" applyFont="1" applyBorder="1"/>
    <xf numFmtId="0" fontId="6" fillId="0" borderId="6" xfId="0" applyFont="1" applyBorder="1" applyAlignment="1">
      <alignment wrapText="1"/>
    </xf>
    <xf numFmtId="0" fontId="6" fillId="0" borderId="6" xfId="0" applyFont="1" applyBorder="1" applyAlignment="1">
      <alignment horizontal="left" indent="2"/>
    </xf>
    <xf numFmtId="43" fontId="6" fillId="0" borderId="0" xfId="0" applyNumberFormat="1" applyFont="1" applyBorder="1"/>
    <xf numFmtId="164" fontId="6" fillId="0" borderId="6" xfId="0" applyNumberFormat="1" applyFont="1" applyBorder="1"/>
  </cellXfs>
  <cellStyles count="6">
    <cellStyle name="Calculation" xfId="5" builtinId="22"/>
    <cellStyle name="Comma" xfId="1" builtinId="3"/>
    <cellStyle name="Heading 1" xfId="3" builtinId="16"/>
    <cellStyle name="Heading 2" xfId="4" builtinId="17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51B30-C96B-4EEF-A15A-B0B19AFC7F3A}">
  <dimension ref="A1:T63"/>
  <sheetViews>
    <sheetView zoomScaleNormal="100" workbookViewId="0">
      <pane ySplit="5" topLeftCell="A6" activePane="bottomLeft" state="frozen"/>
      <selection pane="bottomLeft" activeCell="F66" sqref="F66"/>
    </sheetView>
  </sheetViews>
  <sheetFormatPr defaultRowHeight="15" x14ac:dyDescent="0.25"/>
  <cols>
    <col min="1" max="1" width="31.42578125" bestFit="1" customWidth="1"/>
    <col min="2" max="2" width="15.7109375" customWidth="1"/>
    <col min="3" max="3" width="18.140625" customWidth="1"/>
    <col min="4" max="4" width="18.85546875" customWidth="1"/>
    <col min="5" max="5" width="16.85546875" customWidth="1"/>
    <col min="6" max="6" width="18.42578125" customWidth="1"/>
    <col min="7" max="7" width="8.28515625" bestFit="1" customWidth="1"/>
    <col min="8" max="8" width="8.140625" bestFit="1" customWidth="1"/>
    <col min="9" max="9" width="6.85546875" bestFit="1" customWidth="1"/>
    <col min="10" max="10" width="8.28515625" customWidth="1"/>
    <col min="11" max="11" width="9.42578125" customWidth="1"/>
    <col min="12" max="12" width="7.140625" bestFit="1" customWidth="1"/>
    <col min="13" max="13" width="10.85546875" bestFit="1" customWidth="1"/>
    <col min="14" max="14" width="5.140625" bestFit="1" customWidth="1"/>
    <col min="15" max="15" width="14.28515625" bestFit="1" customWidth="1"/>
    <col min="20" max="20" width="12.5703125" bestFit="1" customWidth="1"/>
  </cols>
  <sheetData>
    <row r="1" spans="1:13" ht="24.75" customHeight="1" x14ac:dyDescent="0.25">
      <c r="A1" s="16" t="s">
        <v>46</v>
      </c>
      <c r="B1" s="16"/>
      <c r="C1" s="16"/>
      <c r="D1" s="16"/>
      <c r="E1" s="16"/>
      <c r="F1" s="16"/>
      <c r="G1" s="16"/>
      <c r="H1" s="16"/>
      <c r="I1" s="16"/>
      <c r="J1" s="16"/>
    </row>
    <row r="2" spans="1:13" ht="16.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3" x14ac:dyDescent="0.2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3" x14ac:dyDescent="0.25">
      <c r="A4" s="4"/>
      <c r="B4" s="4"/>
      <c r="C4" s="4"/>
      <c r="D4" s="4"/>
      <c r="E4" s="4"/>
      <c r="F4" s="4"/>
      <c r="G4" s="22"/>
      <c r="H4" s="22"/>
      <c r="I4" s="22"/>
      <c r="J4" s="22"/>
    </row>
    <row r="5" spans="1:13" ht="17.25" thickBot="1" x14ac:dyDescent="0.3">
      <c r="A5" s="14" t="s">
        <v>0</v>
      </c>
      <c r="B5" s="14">
        <v>2021</v>
      </c>
      <c r="C5" s="14">
        <v>2022</v>
      </c>
      <c r="D5" s="14">
        <v>2023</v>
      </c>
      <c r="E5" s="14">
        <v>2024</v>
      </c>
      <c r="F5" s="20"/>
      <c r="G5" s="20"/>
      <c r="H5" s="20"/>
      <c r="I5" s="20"/>
      <c r="J5" s="20"/>
    </row>
    <row r="6" spans="1:13" ht="18.75" thickTop="1" x14ac:dyDescent="0.25">
      <c r="A6" s="27" t="s">
        <v>1</v>
      </c>
      <c r="B6" s="28"/>
      <c r="C6" s="28"/>
      <c r="D6" s="28"/>
      <c r="E6" s="28"/>
      <c r="F6" s="38"/>
      <c r="G6" s="23"/>
      <c r="H6" s="23"/>
      <c r="I6" s="23"/>
      <c r="J6" s="23"/>
    </row>
    <row r="7" spans="1:13" x14ac:dyDescent="0.25">
      <c r="A7" s="29" t="s">
        <v>2</v>
      </c>
      <c r="B7" s="20"/>
      <c r="C7" s="20"/>
      <c r="D7" s="20"/>
      <c r="E7" s="20"/>
      <c r="F7" s="20"/>
      <c r="G7" s="20"/>
      <c r="H7" s="20"/>
      <c r="I7" s="20"/>
      <c r="J7" s="20"/>
      <c r="M7" s="3"/>
    </row>
    <row r="8" spans="1:13" x14ac:dyDescent="0.25">
      <c r="A8" s="24" t="s">
        <v>3</v>
      </c>
      <c r="B8" s="20">
        <v>62290.52</v>
      </c>
      <c r="C8" s="20">
        <v>57656.36</v>
      </c>
      <c r="D8" s="20">
        <v>67135.59</v>
      </c>
      <c r="E8" s="20">
        <v>62907.54</v>
      </c>
      <c r="F8" s="20"/>
      <c r="G8" s="20"/>
      <c r="H8" s="20"/>
      <c r="I8" s="20"/>
      <c r="J8" s="20"/>
    </row>
    <row r="9" spans="1:13" x14ac:dyDescent="0.25">
      <c r="A9" s="24" t="s">
        <v>4</v>
      </c>
      <c r="B9" s="20">
        <v>5291.25</v>
      </c>
      <c r="C9" s="20">
        <v>13366.35</v>
      </c>
      <c r="D9" s="20">
        <v>6528.42</v>
      </c>
      <c r="E9" s="20">
        <v>47183.61</v>
      </c>
      <c r="F9" s="20"/>
      <c r="G9" s="20"/>
      <c r="H9" s="20"/>
      <c r="I9" s="20"/>
      <c r="J9" s="20"/>
    </row>
    <row r="10" spans="1:13" x14ac:dyDescent="0.25">
      <c r="A10" s="24" t="s">
        <v>5</v>
      </c>
      <c r="B10" s="20">
        <v>3758.62</v>
      </c>
      <c r="C10" s="20">
        <v>3270.32</v>
      </c>
      <c r="D10" s="20">
        <v>6183.42</v>
      </c>
      <c r="E10" s="20">
        <v>6192.5</v>
      </c>
      <c r="F10" s="20"/>
      <c r="G10" s="20"/>
      <c r="H10" s="20"/>
      <c r="I10" s="20"/>
      <c r="J10" s="20"/>
    </row>
    <row r="11" spans="1:13" x14ac:dyDescent="0.25">
      <c r="A11" s="24" t="s">
        <v>6</v>
      </c>
      <c r="B11" s="20">
        <v>662.96</v>
      </c>
      <c r="C11" s="20">
        <v>577.65</v>
      </c>
      <c r="D11" s="20">
        <v>2825.26</v>
      </c>
      <c r="E11" s="20">
        <v>1951.01</v>
      </c>
      <c r="F11" s="20"/>
      <c r="G11" s="20"/>
      <c r="H11" s="20"/>
      <c r="I11" s="20"/>
      <c r="J11" s="20"/>
    </row>
    <row r="12" spans="1:13" x14ac:dyDescent="0.25">
      <c r="A12" s="24" t="s">
        <v>7</v>
      </c>
      <c r="B12" s="20"/>
      <c r="C12" s="20"/>
      <c r="D12" s="20"/>
      <c r="E12" s="20"/>
      <c r="F12" s="20"/>
      <c r="G12" s="20"/>
      <c r="H12" s="20"/>
      <c r="I12" s="20"/>
      <c r="J12" s="20"/>
    </row>
    <row r="13" spans="1:13" x14ac:dyDescent="0.25">
      <c r="A13" s="30" t="s">
        <v>8</v>
      </c>
      <c r="B13" s="20">
        <v>493.98</v>
      </c>
      <c r="C13" s="20">
        <v>516.97</v>
      </c>
      <c r="D13" s="20">
        <v>624.12</v>
      </c>
      <c r="E13" s="20">
        <v>774.01</v>
      </c>
      <c r="F13" s="20"/>
      <c r="G13" s="20"/>
      <c r="H13" s="20"/>
      <c r="I13" s="20"/>
      <c r="J13" s="20"/>
    </row>
    <row r="14" spans="1:13" x14ac:dyDescent="0.25">
      <c r="A14" s="24" t="s">
        <v>9</v>
      </c>
      <c r="B14" s="20">
        <v>6156.74</v>
      </c>
      <c r="C14" s="20">
        <v>8265.99</v>
      </c>
      <c r="D14" s="20">
        <v>9477.9</v>
      </c>
      <c r="E14" s="20">
        <v>10320.99</v>
      </c>
      <c r="F14" s="20"/>
      <c r="G14" s="20"/>
      <c r="H14" s="20"/>
      <c r="I14" s="20"/>
      <c r="J14" s="20"/>
    </row>
    <row r="15" spans="1:13" x14ac:dyDescent="0.25">
      <c r="A15" s="24" t="s">
        <v>10</v>
      </c>
      <c r="B15" s="20">
        <v>2081.5300000000002</v>
      </c>
      <c r="C15" s="20">
        <v>6146.71</v>
      </c>
      <c r="D15" s="20">
        <v>6886.39</v>
      </c>
      <c r="E15" s="20">
        <v>6465.27</v>
      </c>
      <c r="F15" s="20"/>
      <c r="G15" s="20"/>
      <c r="H15" s="20"/>
      <c r="I15" s="20"/>
      <c r="J15" s="20"/>
    </row>
    <row r="16" spans="1:13" x14ac:dyDescent="0.25">
      <c r="A16" s="24" t="s">
        <v>11</v>
      </c>
      <c r="B16" s="20">
        <v>2046.57</v>
      </c>
      <c r="C16" s="20">
        <v>2313.36</v>
      </c>
      <c r="D16" s="20">
        <v>2590.92</v>
      </c>
      <c r="E16" s="20">
        <v>4855.25</v>
      </c>
      <c r="F16" s="20"/>
      <c r="G16" s="20"/>
      <c r="H16" s="20"/>
      <c r="I16" s="20"/>
      <c r="J16" s="20"/>
    </row>
    <row r="17" spans="1:20" x14ac:dyDescent="0.25">
      <c r="A17" s="29" t="s">
        <v>12</v>
      </c>
      <c r="B17" s="21">
        <f>SUM(B8:B16)</f>
        <v>82782.17</v>
      </c>
      <c r="C17" s="21">
        <f>SUM(C8:C16)</f>
        <v>92113.710000000021</v>
      </c>
      <c r="D17" s="21">
        <f t="shared" ref="D17:E17" si="0">SUM(D8:D16)</f>
        <v>102252.01999999997</v>
      </c>
      <c r="E17" s="21">
        <f t="shared" si="0"/>
        <v>140650.18</v>
      </c>
      <c r="F17" s="21"/>
      <c r="G17" s="21"/>
      <c r="H17" s="21"/>
      <c r="I17" s="21"/>
      <c r="J17" s="21"/>
    </row>
    <row r="18" spans="1:20" x14ac:dyDescent="0.25">
      <c r="A18" s="29"/>
      <c r="B18" s="21"/>
      <c r="C18" s="21"/>
      <c r="D18" s="21"/>
      <c r="E18" s="21"/>
      <c r="F18" s="21"/>
      <c r="G18" s="21"/>
      <c r="H18" s="21"/>
      <c r="I18" s="21"/>
      <c r="J18" s="21"/>
    </row>
    <row r="19" spans="1:20" x14ac:dyDescent="0.25">
      <c r="A19" s="29" t="s">
        <v>13</v>
      </c>
      <c r="B19" s="20"/>
      <c r="C19" s="20"/>
      <c r="D19" s="20"/>
      <c r="E19" s="20"/>
      <c r="F19" s="20"/>
      <c r="G19" s="20"/>
      <c r="H19" s="20"/>
      <c r="I19" s="20"/>
      <c r="J19" s="20"/>
      <c r="O19" s="1"/>
    </row>
    <row r="20" spans="1:20" x14ac:dyDescent="0.25">
      <c r="A20" s="24" t="s">
        <v>14</v>
      </c>
      <c r="B20" s="20">
        <v>28811.200000000001</v>
      </c>
      <c r="C20" s="20">
        <v>34224.089999999997</v>
      </c>
      <c r="D20" s="20">
        <v>33156.29</v>
      </c>
      <c r="E20" s="20">
        <v>34043.57</v>
      </c>
      <c r="F20" s="20"/>
      <c r="G20" s="20"/>
      <c r="H20" s="20"/>
      <c r="I20" s="20"/>
      <c r="J20" s="20"/>
      <c r="O20" s="1"/>
    </row>
    <row r="21" spans="1:20" x14ac:dyDescent="0.25">
      <c r="A21" s="24" t="s">
        <v>7</v>
      </c>
      <c r="B21" s="24"/>
      <c r="C21" s="20"/>
      <c r="D21" s="20"/>
      <c r="E21" s="20"/>
      <c r="F21" s="20"/>
      <c r="G21" s="20"/>
      <c r="H21" s="20"/>
      <c r="I21" s="20"/>
      <c r="J21" s="20"/>
      <c r="T21" s="1"/>
    </row>
    <row r="22" spans="1:20" x14ac:dyDescent="0.25">
      <c r="A22" s="30" t="s">
        <v>15</v>
      </c>
      <c r="B22" s="20">
        <v>21824.07</v>
      </c>
      <c r="C22" s="20">
        <v>28971.919999999998</v>
      </c>
      <c r="D22" s="20">
        <v>25100.26</v>
      </c>
      <c r="E22" s="20">
        <v>23891.23</v>
      </c>
      <c r="F22" s="20"/>
      <c r="G22" s="20"/>
      <c r="H22" s="20"/>
      <c r="I22" s="20"/>
      <c r="J22" s="20"/>
    </row>
    <row r="23" spans="1:20" x14ac:dyDescent="0.25">
      <c r="A23" s="30" t="s">
        <v>16</v>
      </c>
      <c r="B23" s="20">
        <v>141388.42000000001</v>
      </c>
      <c r="C23" s="20">
        <v>177411.47</v>
      </c>
      <c r="D23" s="20">
        <v>9732.15</v>
      </c>
      <c r="E23" s="20">
        <v>48457.17</v>
      </c>
      <c r="F23" s="20"/>
      <c r="G23" s="20"/>
      <c r="H23" s="20"/>
      <c r="I23" s="20"/>
      <c r="J23" s="20"/>
    </row>
    <row r="24" spans="1:20" x14ac:dyDescent="0.25">
      <c r="A24" s="30" t="s">
        <v>42</v>
      </c>
      <c r="B24" s="20"/>
      <c r="C24" s="20"/>
      <c r="D24" s="20">
        <v>80441.3</v>
      </c>
      <c r="E24" s="20">
        <v>37334.53</v>
      </c>
      <c r="F24" s="20"/>
      <c r="G24" s="20"/>
      <c r="H24" s="20"/>
      <c r="I24" s="20"/>
      <c r="J24" s="20"/>
    </row>
    <row r="25" spans="1:20" x14ac:dyDescent="0.25">
      <c r="A25" s="30" t="s">
        <v>17</v>
      </c>
      <c r="B25" s="20">
        <v>154.94</v>
      </c>
      <c r="C25" s="20">
        <v>659.48</v>
      </c>
      <c r="D25" s="24"/>
      <c r="E25" s="20"/>
      <c r="F25" s="20"/>
      <c r="G25" s="20"/>
      <c r="H25" s="20"/>
      <c r="I25" s="20"/>
      <c r="J25" s="20"/>
    </row>
    <row r="26" spans="1:20" x14ac:dyDescent="0.25">
      <c r="A26" s="30" t="s">
        <v>8</v>
      </c>
      <c r="B26" s="20">
        <v>3005.15</v>
      </c>
      <c r="C26" s="20">
        <v>4539.58</v>
      </c>
      <c r="D26" s="20">
        <v>3439.24</v>
      </c>
      <c r="E26" s="20">
        <v>4572.66</v>
      </c>
      <c r="F26" s="20"/>
      <c r="G26" s="20"/>
      <c r="H26" s="20"/>
      <c r="I26" s="20"/>
      <c r="J26" s="20"/>
      <c r="O26" s="2"/>
    </row>
    <row r="27" spans="1:20" x14ac:dyDescent="0.25">
      <c r="A27" s="31" t="s">
        <v>18</v>
      </c>
      <c r="B27" s="20">
        <v>5634.63</v>
      </c>
      <c r="C27" s="20">
        <v>7813.17</v>
      </c>
      <c r="D27" s="20">
        <v>9371.19</v>
      </c>
      <c r="E27" s="20">
        <v>12024.25</v>
      </c>
      <c r="F27" s="20"/>
      <c r="G27" s="20"/>
      <c r="H27" s="20"/>
      <c r="I27" s="20"/>
      <c r="J27" s="20"/>
      <c r="O27" s="1"/>
      <c r="T27" s="1"/>
    </row>
    <row r="28" spans="1:20" x14ac:dyDescent="0.25">
      <c r="A28" s="32" t="s">
        <v>19</v>
      </c>
      <c r="B28" s="21">
        <f>SUM(B20:B27)</f>
        <v>200818.41</v>
      </c>
      <c r="C28" s="21">
        <f>SUM(C20:C27)</f>
        <v>253619.71</v>
      </c>
      <c r="D28" s="21">
        <f>SUM(D20:D27)</f>
        <v>161240.43</v>
      </c>
      <c r="E28" s="21">
        <f>SUM(E20:E27)</f>
        <v>160323.41</v>
      </c>
      <c r="F28" s="21"/>
      <c r="G28" s="21"/>
      <c r="H28" s="21"/>
      <c r="I28" s="21"/>
      <c r="J28" s="21"/>
      <c r="O28" s="1"/>
    </row>
    <row r="29" spans="1:20" x14ac:dyDescent="0.25">
      <c r="A29" s="32" t="s">
        <v>20</v>
      </c>
      <c r="B29" s="21">
        <f>B17+B28</f>
        <v>283600.58</v>
      </c>
      <c r="C29" s="21">
        <f>C17+C28</f>
        <v>345733.42000000004</v>
      </c>
      <c r="D29" s="21">
        <f>D17+D28</f>
        <v>263492.44999999995</v>
      </c>
      <c r="E29" s="21">
        <f>E17+E28</f>
        <v>300973.58999999997</v>
      </c>
      <c r="F29" s="21"/>
      <c r="G29" s="21"/>
      <c r="H29" s="21"/>
      <c r="I29" s="21"/>
      <c r="J29" s="21"/>
      <c r="K29" s="25"/>
    </row>
    <row r="30" spans="1:20" x14ac:dyDescent="0.25">
      <c r="A30" s="32"/>
      <c r="B30" s="21"/>
      <c r="C30" s="21"/>
      <c r="D30" s="21"/>
      <c r="E30" s="21"/>
      <c r="F30" s="20"/>
      <c r="G30" s="20"/>
      <c r="H30" s="20"/>
      <c r="I30" s="20"/>
      <c r="J30" s="20"/>
      <c r="K30" s="25"/>
    </row>
    <row r="31" spans="1:20" ht="18" x14ac:dyDescent="0.25">
      <c r="A31" s="33" t="s">
        <v>21</v>
      </c>
      <c r="B31" s="33"/>
      <c r="C31" s="33"/>
      <c r="D31" s="33"/>
      <c r="E31" s="33"/>
      <c r="F31" s="33"/>
      <c r="G31" s="26"/>
      <c r="H31" s="26"/>
      <c r="I31" s="26"/>
      <c r="J31" s="26"/>
      <c r="K31" s="25"/>
    </row>
    <row r="32" spans="1:20" x14ac:dyDescent="0.25">
      <c r="A32" s="24" t="s">
        <v>22</v>
      </c>
      <c r="B32" s="20">
        <v>8125.41</v>
      </c>
      <c r="C32" s="20">
        <v>8125.41</v>
      </c>
      <c r="D32" s="20">
        <v>8125.41</v>
      </c>
      <c r="E32" s="20">
        <v>8125.41</v>
      </c>
      <c r="F32" s="20"/>
      <c r="G32" s="20"/>
      <c r="H32" s="20"/>
      <c r="I32" s="20"/>
      <c r="J32" s="20"/>
      <c r="K32" s="25"/>
      <c r="T32" s="1"/>
    </row>
    <row r="33" spans="1:20" x14ac:dyDescent="0.25">
      <c r="A33" s="24" t="s">
        <v>43</v>
      </c>
      <c r="B33" s="20">
        <v>160437.14000000001</v>
      </c>
      <c r="C33" s="20">
        <v>192422.77</v>
      </c>
      <c r="D33" s="20">
        <v>98531.16</v>
      </c>
      <c r="E33" s="20">
        <v>154839.24</v>
      </c>
      <c r="F33" s="20"/>
      <c r="G33" s="20"/>
      <c r="H33" s="20"/>
      <c r="I33" s="20"/>
      <c r="J33" s="20"/>
      <c r="K33" s="25"/>
    </row>
    <row r="34" spans="1:20" x14ac:dyDescent="0.25">
      <c r="A34" s="29" t="s">
        <v>23</v>
      </c>
      <c r="B34" s="21">
        <f>SUM(B32:B33)</f>
        <v>168562.55000000002</v>
      </c>
      <c r="C34" s="21">
        <f>SUM(C32:C33)</f>
        <v>200548.18</v>
      </c>
      <c r="D34" s="21">
        <f>SUM(D32:D33)</f>
        <v>106656.57</v>
      </c>
      <c r="E34" s="21">
        <f>SUM(E32:E33)</f>
        <v>162964.65</v>
      </c>
      <c r="F34" s="21"/>
      <c r="G34" s="21"/>
      <c r="H34" s="21"/>
      <c r="I34" s="21"/>
      <c r="J34" s="21"/>
      <c r="K34" s="25"/>
      <c r="O34" s="1"/>
      <c r="T34" s="1"/>
    </row>
    <row r="35" spans="1:20" x14ac:dyDescent="0.25">
      <c r="A35" s="29"/>
      <c r="B35" s="21"/>
      <c r="C35" s="21"/>
      <c r="D35" s="21"/>
      <c r="E35" s="21"/>
      <c r="F35" s="20"/>
      <c r="G35" s="20"/>
      <c r="H35" s="20"/>
      <c r="I35" s="20"/>
      <c r="J35" s="20"/>
      <c r="K35" s="25"/>
    </row>
    <row r="36" spans="1:20" ht="18" x14ac:dyDescent="0.25">
      <c r="A36" s="33" t="s">
        <v>24</v>
      </c>
      <c r="B36" s="33"/>
      <c r="C36" s="33"/>
      <c r="D36" s="33"/>
      <c r="E36" s="33"/>
      <c r="F36" s="33"/>
      <c r="G36" s="26"/>
      <c r="H36" s="26"/>
      <c r="I36" s="26"/>
      <c r="J36" s="26"/>
      <c r="K36" s="25"/>
    </row>
    <row r="37" spans="1:20" x14ac:dyDescent="0.25">
      <c r="A37" s="29" t="s">
        <v>25</v>
      </c>
      <c r="B37" s="20"/>
      <c r="C37" s="20"/>
      <c r="D37" s="20"/>
      <c r="E37" s="20"/>
      <c r="F37" s="20"/>
      <c r="G37" s="20"/>
      <c r="H37" s="20"/>
      <c r="I37" s="20"/>
      <c r="J37" s="20"/>
      <c r="K37" s="25"/>
    </row>
    <row r="38" spans="1:20" x14ac:dyDescent="0.25">
      <c r="A38" s="24" t="s">
        <v>26</v>
      </c>
      <c r="B38" s="24"/>
      <c r="C38" s="20"/>
      <c r="D38" s="20"/>
      <c r="E38" s="20"/>
      <c r="F38" s="20"/>
      <c r="G38" s="20"/>
      <c r="H38" s="20"/>
      <c r="I38" s="20"/>
      <c r="J38" s="20"/>
      <c r="K38" s="25"/>
    </row>
    <row r="39" spans="1:20" x14ac:dyDescent="0.25">
      <c r="A39" s="30" t="s">
        <v>27</v>
      </c>
      <c r="B39" s="20">
        <v>7667.1</v>
      </c>
      <c r="C39" s="20">
        <v>7065.66</v>
      </c>
      <c r="D39" s="20">
        <v>6227.97</v>
      </c>
      <c r="E39" s="20">
        <v>5359.88</v>
      </c>
      <c r="F39" s="20"/>
      <c r="G39" s="20"/>
      <c r="H39" s="20"/>
      <c r="I39" s="20"/>
      <c r="J39" s="20"/>
    </row>
    <row r="40" spans="1:20" x14ac:dyDescent="0.25">
      <c r="A40" s="30" t="s">
        <v>28</v>
      </c>
      <c r="B40" s="20">
        <v>307.47000000000003</v>
      </c>
      <c r="C40" s="20">
        <v>267.23</v>
      </c>
      <c r="D40" s="20">
        <v>557.67999999999995</v>
      </c>
      <c r="E40" s="20">
        <v>474.38</v>
      </c>
      <c r="F40" s="20"/>
      <c r="G40" s="20"/>
      <c r="H40" s="20"/>
      <c r="I40" s="20"/>
      <c r="J40" s="20"/>
      <c r="T40" s="1"/>
    </row>
    <row r="41" spans="1:20" x14ac:dyDescent="0.25">
      <c r="A41" s="24" t="s">
        <v>29</v>
      </c>
      <c r="B41" s="20">
        <v>7743.02</v>
      </c>
      <c r="C41" s="20">
        <v>8037.65</v>
      </c>
      <c r="D41" s="20">
        <v>8467.39</v>
      </c>
      <c r="E41" s="20">
        <v>8736.3700000000008</v>
      </c>
      <c r="F41" s="20"/>
      <c r="G41" s="20"/>
      <c r="H41" s="20"/>
      <c r="I41" s="20"/>
      <c r="J41" s="20"/>
      <c r="T41" s="1"/>
    </row>
    <row r="42" spans="1:20" x14ac:dyDescent="0.25">
      <c r="A42" s="24" t="s">
        <v>30</v>
      </c>
      <c r="B42" s="20">
        <v>7378.07</v>
      </c>
      <c r="C42" s="20">
        <v>9759.5499999999993</v>
      </c>
      <c r="D42" s="20">
        <v>11610.97</v>
      </c>
      <c r="E42" s="20">
        <v>10775.08</v>
      </c>
      <c r="F42" s="20"/>
      <c r="G42" s="20"/>
      <c r="H42" s="20"/>
      <c r="I42" s="20"/>
      <c r="J42" s="20"/>
    </row>
    <row r="43" spans="1:20" x14ac:dyDescent="0.25">
      <c r="A43" s="29" t="s">
        <v>31</v>
      </c>
      <c r="B43" s="21">
        <f>SUM(B39:B42)</f>
        <v>23095.66</v>
      </c>
      <c r="C43" s="21">
        <f t="shared" ref="C43:E43" si="1">SUM(C39:C42)</f>
        <v>25130.089999999997</v>
      </c>
      <c r="D43" s="21">
        <f t="shared" si="1"/>
        <v>26864.010000000002</v>
      </c>
      <c r="E43" s="21">
        <f t="shared" si="1"/>
        <v>25345.71</v>
      </c>
      <c r="F43" s="21"/>
      <c r="G43" s="21"/>
      <c r="H43" s="21"/>
      <c r="I43" s="21"/>
      <c r="J43" s="21"/>
      <c r="T43" s="1"/>
    </row>
    <row r="44" spans="1:20" x14ac:dyDescent="0.25">
      <c r="A44" s="29"/>
      <c r="B44" s="21"/>
      <c r="C44" s="21"/>
      <c r="D44" s="21"/>
      <c r="E44" s="21"/>
      <c r="F44" s="21"/>
      <c r="G44" s="21"/>
      <c r="H44" s="21"/>
      <c r="I44" s="21"/>
      <c r="J44" s="21"/>
      <c r="T44" s="1"/>
    </row>
    <row r="45" spans="1:20" x14ac:dyDescent="0.25">
      <c r="A45" s="29" t="s">
        <v>32</v>
      </c>
      <c r="B45" s="20"/>
      <c r="C45" s="20"/>
      <c r="D45" s="20"/>
      <c r="E45" s="20"/>
      <c r="F45" s="20"/>
      <c r="G45" s="20"/>
      <c r="H45" s="20"/>
      <c r="I45" s="20"/>
      <c r="J45" s="20"/>
    </row>
    <row r="46" spans="1:20" x14ac:dyDescent="0.25">
      <c r="A46" s="24" t="s">
        <v>26</v>
      </c>
      <c r="B46" s="20"/>
      <c r="C46" s="20"/>
      <c r="D46" s="20"/>
      <c r="E46" s="20"/>
      <c r="F46" s="20"/>
      <c r="G46" s="20"/>
      <c r="H46" s="20"/>
      <c r="I46" s="20"/>
      <c r="J46" s="20"/>
    </row>
    <row r="47" spans="1:20" x14ac:dyDescent="0.25">
      <c r="A47" s="30" t="s">
        <v>27</v>
      </c>
      <c r="B47" s="20">
        <v>3733.23</v>
      </c>
      <c r="C47" s="20">
        <v>4520.34</v>
      </c>
      <c r="D47" s="20">
        <v>1451.18</v>
      </c>
      <c r="E47" s="20">
        <v>2558.37</v>
      </c>
      <c r="F47" s="20"/>
      <c r="G47" s="20"/>
      <c r="H47" s="20"/>
      <c r="I47" s="20"/>
      <c r="J47" s="20"/>
    </row>
    <row r="48" spans="1:20" x14ac:dyDescent="0.25">
      <c r="A48" s="30" t="s">
        <v>28</v>
      </c>
      <c r="B48" s="20">
        <v>68.95</v>
      </c>
      <c r="C48" s="20">
        <v>40.24</v>
      </c>
      <c r="D48" s="20">
        <v>95.58</v>
      </c>
      <c r="E48" s="20">
        <v>109.67</v>
      </c>
      <c r="F48" s="20"/>
      <c r="G48" s="20"/>
      <c r="H48" s="20"/>
      <c r="I48" s="20"/>
      <c r="J48" s="20"/>
    </row>
    <row r="49" spans="1:20" x14ac:dyDescent="0.25">
      <c r="A49" s="30" t="s">
        <v>33</v>
      </c>
      <c r="B49" s="20"/>
      <c r="C49" s="20"/>
      <c r="D49" s="20"/>
      <c r="E49" s="20"/>
      <c r="F49" s="20"/>
      <c r="G49" s="20"/>
      <c r="H49" s="20"/>
      <c r="I49" s="20"/>
      <c r="J49" s="20"/>
    </row>
    <row r="50" spans="1:20" x14ac:dyDescent="0.25">
      <c r="A50" s="34" t="s">
        <v>35</v>
      </c>
      <c r="B50" s="20">
        <v>1274.98</v>
      </c>
      <c r="C50" s="20">
        <v>1536.92</v>
      </c>
      <c r="D50" s="20">
        <v>2158.1799999999998</v>
      </c>
      <c r="E50" s="20">
        <v>1834.21</v>
      </c>
      <c r="F50" s="20"/>
      <c r="G50" s="20"/>
      <c r="H50" s="20"/>
      <c r="I50" s="20"/>
      <c r="J50" s="20"/>
    </row>
    <row r="51" spans="1:20" x14ac:dyDescent="0.25">
      <c r="A51" s="34" t="s">
        <v>34</v>
      </c>
      <c r="B51" s="20">
        <v>52799.3</v>
      </c>
      <c r="C51" s="20">
        <v>72871.39</v>
      </c>
      <c r="D51" s="20">
        <v>72772.39</v>
      </c>
      <c r="E51" s="20">
        <v>69027.87</v>
      </c>
      <c r="F51" s="20"/>
      <c r="G51" s="20"/>
      <c r="H51" s="20"/>
      <c r="I51" s="20"/>
      <c r="J51" s="20"/>
      <c r="T51" s="1"/>
    </row>
    <row r="52" spans="1:20" x14ac:dyDescent="0.25">
      <c r="A52" s="30" t="s">
        <v>36</v>
      </c>
      <c r="B52" s="20">
        <v>4263.43</v>
      </c>
      <c r="C52" s="20">
        <v>8067.47</v>
      </c>
      <c r="D52" s="20">
        <v>5759.74</v>
      </c>
      <c r="E52" s="20">
        <v>15767.52</v>
      </c>
      <c r="F52" s="20"/>
      <c r="G52" s="20"/>
      <c r="H52" s="20"/>
      <c r="I52" s="20"/>
      <c r="J52" s="20"/>
    </row>
    <row r="53" spans="1:20" x14ac:dyDescent="0.25">
      <c r="A53" s="24" t="s">
        <v>37</v>
      </c>
      <c r="B53" s="20">
        <v>23789.21</v>
      </c>
      <c r="C53" s="20">
        <v>25342.17</v>
      </c>
      <c r="D53" s="20">
        <v>39327.93</v>
      </c>
      <c r="E53" s="20">
        <v>14281.65</v>
      </c>
      <c r="F53" s="20"/>
      <c r="G53" s="20"/>
      <c r="H53" s="20"/>
      <c r="I53" s="20"/>
      <c r="J53" s="20"/>
    </row>
    <row r="54" spans="1:20" x14ac:dyDescent="0.25">
      <c r="A54" s="24" t="s">
        <v>29</v>
      </c>
      <c r="B54" s="20">
        <v>4027.33</v>
      </c>
      <c r="C54" s="20">
        <v>4539.05</v>
      </c>
      <c r="D54" s="20">
        <v>4528.2</v>
      </c>
      <c r="E54" s="20">
        <v>4974.42</v>
      </c>
      <c r="F54" s="20"/>
      <c r="G54" s="20"/>
      <c r="H54" s="20"/>
      <c r="I54" s="20"/>
      <c r="J54" s="20"/>
      <c r="T54" s="1"/>
    </row>
    <row r="55" spans="1:20" x14ac:dyDescent="0.25">
      <c r="A55" s="24" t="s">
        <v>38</v>
      </c>
      <c r="B55" s="20">
        <v>1985.94</v>
      </c>
      <c r="C55" s="20">
        <v>3137.57</v>
      </c>
      <c r="D55" s="20">
        <v>3878.67</v>
      </c>
      <c r="E55" s="20">
        <v>4109.5200000000004</v>
      </c>
      <c r="F55" s="20"/>
      <c r="G55" s="20"/>
      <c r="H55" s="20"/>
      <c r="I55" s="20"/>
      <c r="J55" s="20"/>
    </row>
    <row r="56" spans="1:20" x14ac:dyDescent="0.25">
      <c r="A56" s="29" t="s">
        <v>39</v>
      </c>
      <c r="B56" s="21">
        <f>SUM(B47:B55)</f>
        <v>91942.37000000001</v>
      </c>
      <c r="C56" s="21">
        <f t="shared" ref="C56:E56" si="2">SUM(C47:C55)</f>
        <v>120055.15000000001</v>
      </c>
      <c r="D56" s="21">
        <f t="shared" si="2"/>
        <v>129971.87</v>
      </c>
      <c r="E56" s="21">
        <f t="shared" si="2"/>
        <v>112663.23</v>
      </c>
      <c r="F56" s="21"/>
      <c r="G56" s="21"/>
      <c r="H56" s="21"/>
      <c r="I56" s="21"/>
      <c r="J56" s="21"/>
      <c r="T56" s="1"/>
    </row>
    <row r="57" spans="1:20" x14ac:dyDescent="0.25">
      <c r="A57" s="29" t="s">
        <v>40</v>
      </c>
      <c r="B57" s="21">
        <f>B43+B56</f>
        <v>115038.03000000001</v>
      </c>
      <c r="C57" s="21">
        <f t="shared" ref="C57:E57" si="3">C43+C56</f>
        <v>145185.24</v>
      </c>
      <c r="D57" s="21">
        <f t="shared" si="3"/>
        <v>156835.88</v>
      </c>
      <c r="E57" s="21">
        <f t="shared" si="3"/>
        <v>138008.94</v>
      </c>
      <c r="F57" s="21"/>
      <c r="G57" s="21"/>
      <c r="H57" s="21"/>
      <c r="I57" s="21"/>
      <c r="J57" s="21"/>
      <c r="T57" s="1"/>
    </row>
    <row r="58" spans="1:20" x14ac:dyDescent="0.25">
      <c r="A58" s="29" t="s">
        <v>41</v>
      </c>
      <c r="B58" s="21">
        <f>B57+B34</f>
        <v>283600.58</v>
      </c>
      <c r="C58" s="21">
        <f t="shared" ref="C58:E58" si="4">C57+C34</f>
        <v>345733.42</v>
      </c>
      <c r="D58" s="21">
        <f t="shared" si="4"/>
        <v>263492.45</v>
      </c>
      <c r="E58" s="21">
        <f t="shared" si="4"/>
        <v>300973.58999999997</v>
      </c>
      <c r="F58" s="21"/>
      <c r="G58" s="21"/>
      <c r="H58" s="21"/>
      <c r="I58" s="21"/>
      <c r="J58" s="21"/>
      <c r="O58" s="1"/>
      <c r="T58" s="1"/>
    </row>
    <row r="59" spans="1:20" x14ac:dyDescent="0.25">
      <c r="A59" s="5"/>
      <c r="B59" s="5"/>
      <c r="C59" s="5"/>
      <c r="D59" s="5"/>
      <c r="E59" s="5"/>
      <c r="F59" s="5"/>
      <c r="G59" s="24"/>
      <c r="H59" s="24"/>
      <c r="I59" s="24"/>
      <c r="J59" s="24"/>
    </row>
    <row r="60" spans="1:20" ht="15.75" x14ac:dyDescent="0.25">
      <c r="A60" s="6" t="s">
        <v>44</v>
      </c>
      <c r="B60" s="6">
        <f>B29-SUM(B57,B34)</f>
        <v>0</v>
      </c>
      <c r="C60" s="6">
        <f>C29-SUM(C57,C34)</f>
        <v>0</v>
      </c>
      <c r="D60" s="6">
        <f>D29-SUM(D57,D34)</f>
        <v>0</v>
      </c>
      <c r="E60" s="6">
        <f>E29-SUM(E57,E34)</f>
        <v>0</v>
      </c>
      <c r="F60" s="21"/>
    </row>
    <row r="61" spans="1:20" x14ac:dyDescent="0.25">
      <c r="F61" s="21"/>
    </row>
    <row r="62" spans="1:20" x14ac:dyDescent="0.25">
      <c r="F62" s="5"/>
    </row>
    <row r="63" spans="1:20" x14ac:dyDescent="0.25">
      <c r="O63" s="1"/>
    </row>
  </sheetData>
  <mergeCells count="4">
    <mergeCell ref="A1:J2"/>
    <mergeCell ref="A36:F36"/>
    <mergeCell ref="A31:F31"/>
    <mergeCell ref="A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0993-7DB9-4771-B1A1-6BF44B79308C}">
  <dimension ref="A1:M33"/>
  <sheetViews>
    <sheetView zoomScale="115" zoomScaleNormal="115" workbookViewId="0">
      <pane ySplit="5" topLeftCell="A6" activePane="bottomLeft" state="frozen"/>
      <selection pane="bottomLeft" activeCell="D24" sqref="D24"/>
    </sheetView>
  </sheetViews>
  <sheetFormatPr defaultRowHeight="14.25" x14ac:dyDescent="0.2"/>
  <cols>
    <col min="1" max="1" width="39.28515625" style="4" bestFit="1" customWidth="1"/>
    <col min="2" max="4" width="13.85546875" style="4" bestFit="1" customWidth="1"/>
    <col min="5" max="5" width="15" style="4" customWidth="1"/>
    <col min="6" max="6" width="12.7109375" style="4" customWidth="1"/>
    <col min="7" max="7" width="13.140625" style="4" bestFit="1" customWidth="1"/>
    <col min="8" max="9" width="9.28515625" style="4" bestFit="1" customWidth="1"/>
    <col min="10" max="16384" width="9.140625" style="4"/>
  </cols>
  <sheetData>
    <row r="1" spans="1:13" x14ac:dyDescent="0.2">
      <c r="A1" s="16" t="s">
        <v>45</v>
      </c>
      <c r="B1" s="16"/>
      <c r="C1" s="16"/>
      <c r="D1" s="16"/>
      <c r="E1" s="16"/>
      <c r="F1" s="16"/>
      <c r="G1" s="16"/>
      <c r="H1" s="16"/>
      <c r="I1" s="16"/>
      <c r="J1" s="16"/>
    </row>
    <row r="2" spans="1:13" x14ac:dyDescent="0.2">
      <c r="A2" s="16"/>
      <c r="B2" s="16"/>
      <c r="C2" s="16"/>
      <c r="D2" s="16"/>
      <c r="E2" s="16"/>
      <c r="F2" s="16"/>
      <c r="G2" s="16"/>
      <c r="H2" s="16"/>
      <c r="I2" s="16"/>
      <c r="J2" s="16"/>
    </row>
    <row r="5" spans="1:13" ht="17.25" thickBot="1" x14ac:dyDescent="0.3">
      <c r="A5" s="14" t="s">
        <v>0</v>
      </c>
      <c r="B5" s="14">
        <v>2021</v>
      </c>
      <c r="C5" s="14">
        <v>2022</v>
      </c>
      <c r="D5" s="14">
        <v>2023</v>
      </c>
      <c r="E5" s="14">
        <v>2024</v>
      </c>
      <c r="F5" s="20"/>
      <c r="G5" s="20"/>
      <c r="H5" s="20"/>
      <c r="I5" s="20"/>
      <c r="J5" s="20"/>
      <c r="K5"/>
      <c r="L5"/>
      <c r="M5"/>
    </row>
    <row r="6" spans="1:13" ht="18.75" thickTop="1" x14ac:dyDescent="0.25">
      <c r="A6" s="11" t="s">
        <v>47</v>
      </c>
      <c r="B6" s="12"/>
      <c r="C6" s="12"/>
      <c r="D6" s="12"/>
      <c r="E6" s="12"/>
      <c r="F6" s="12"/>
      <c r="G6" s="12"/>
      <c r="H6" s="12"/>
      <c r="I6" s="12"/>
    </row>
    <row r="7" spans="1:13" ht="28.5" x14ac:dyDescent="0.2">
      <c r="A7" s="17" t="s">
        <v>67</v>
      </c>
      <c r="B7" s="12">
        <v>473784.32000000001</v>
      </c>
      <c r="C7" s="12">
        <v>603075.80000000005</v>
      </c>
      <c r="D7" s="12">
        <v>698290.57</v>
      </c>
      <c r="E7" s="12">
        <v>691928.88</v>
      </c>
      <c r="L7" s="12"/>
    </row>
    <row r="8" spans="1:13" x14ac:dyDescent="0.2">
      <c r="A8" s="8" t="s">
        <v>51</v>
      </c>
      <c r="B8" s="12">
        <v>5876.16</v>
      </c>
      <c r="C8" s="12">
        <v>11290.62</v>
      </c>
      <c r="D8" s="12">
        <v>14732.68</v>
      </c>
      <c r="E8" s="12">
        <v>8700.49</v>
      </c>
    </row>
    <row r="9" spans="1:13" x14ac:dyDescent="0.2">
      <c r="A9" s="10" t="s">
        <v>48</v>
      </c>
      <c r="B9" s="13">
        <f>SUM(B7:B8)</f>
        <v>479660.48</v>
      </c>
      <c r="C9" s="13">
        <f>SUM(C7:C8)</f>
        <v>614366.42000000004</v>
      </c>
      <c r="D9" s="13">
        <f>SUM(D7:D8)</f>
        <v>713023.25</v>
      </c>
      <c r="E9" s="13">
        <f>SUM(E7:E8)</f>
        <v>700629.37</v>
      </c>
      <c r="L9" s="12"/>
    </row>
    <row r="10" spans="1:13" x14ac:dyDescent="0.2">
      <c r="B10" s="12"/>
      <c r="C10" s="12"/>
      <c r="D10" s="12"/>
      <c r="E10" s="12"/>
    </row>
    <row r="11" spans="1:13" ht="18" x14ac:dyDescent="0.25">
      <c r="A11" s="11" t="s">
        <v>49</v>
      </c>
      <c r="B11" s="12"/>
      <c r="C11" s="12"/>
      <c r="D11" s="12"/>
      <c r="E11" s="12"/>
    </row>
    <row r="12" spans="1:13" x14ac:dyDescent="0.2">
      <c r="A12" s="8" t="s">
        <v>52</v>
      </c>
      <c r="B12" s="12">
        <v>352308.08</v>
      </c>
      <c r="C12" s="12">
        <v>445086.35</v>
      </c>
      <c r="D12" s="12">
        <v>512979.91</v>
      </c>
      <c r="E12" s="12">
        <v>493978.87</v>
      </c>
    </row>
    <row r="13" spans="1:13" x14ac:dyDescent="0.2">
      <c r="A13" s="8" t="s">
        <v>53</v>
      </c>
      <c r="B13" s="12">
        <v>6564.05</v>
      </c>
      <c r="C13" s="12">
        <v>6564.16</v>
      </c>
      <c r="D13" s="12">
        <v>4334.2700000000004</v>
      </c>
      <c r="E13" s="12">
        <v>7407.41</v>
      </c>
    </row>
    <row r="14" spans="1:13" x14ac:dyDescent="0.2">
      <c r="A14" s="8" t="s">
        <v>54</v>
      </c>
      <c r="B14" s="12">
        <v>-621.20000000000005</v>
      </c>
      <c r="C14" s="12">
        <v>-1351.21</v>
      </c>
      <c r="D14" s="12">
        <v>-1384.74</v>
      </c>
      <c r="E14" s="12">
        <v>-1772.37</v>
      </c>
    </row>
    <row r="15" spans="1:13" x14ac:dyDescent="0.2">
      <c r="A15" s="8" t="s">
        <v>55</v>
      </c>
      <c r="B15" s="12">
        <v>16476.38</v>
      </c>
      <c r="C15" s="12">
        <v>17662.259999999998</v>
      </c>
      <c r="D15" s="12">
        <v>19754.88</v>
      </c>
      <c r="E15" s="12">
        <v>23112.09</v>
      </c>
    </row>
    <row r="16" spans="1:13" x14ac:dyDescent="0.2">
      <c r="A16" s="8" t="s">
        <v>56</v>
      </c>
      <c r="B16" s="12">
        <v>1319.13</v>
      </c>
      <c r="C16" s="12">
        <v>1424.01</v>
      </c>
      <c r="D16" s="12">
        <v>1580.79</v>
      </c>
      <c r="E16" s="12">
        <v>1272</v>
      </c>
    </row>
    <row r="17" spans="1:5" x14ac:dyDescent="0.2">
      <c r="A17" s="8" t="s">
        <v>57</v>
      </c>
      <c r="B17" s="12">
        <v>21695.86</v>
      </c>
      <c r="C17" s="12">
        <v>21898.66</v>
      </c>
      <c r="D17" s="12">
        <v>22079.31</v>
      </c>
      <c r="E17" s="12">
        <v>21052.58</v>
      </c>
    </row>
    <row r="18" spans="1:5" x14ac:dyDescent="0.2">
      <c r="A18" s="8" t="s">
        <v>58</v>
      </c>
      <c r="B18" s="12">
        <v>44397.74</v>
      </c>
      <c r="C18" s="12">
        <v>60098.7</v>
      </c>
      <c r="D18" s="12">
        <v>71820.52</v>
      </c>
      <c r="E18" s="12">
        <v>79989.8</v>
      </c>
    </row>
    <row r="19" spans="1:5" x14ac:dyDescent="0.2">
      <c r="A19" s="8" t="s">
        <v>59</v>
      </c>
      <c r="B19" s="12">
        <v>-201.61</v>
      </c>
      <c r="C19" s="12">
        <v>-472.26</v>
      </c>
      <c r="D19" s="12">
        <v>-540.42999999999995</v>
      </c>
      <c r="E19" s="12">
        <v>-414.5</v>
      </c>
    </row>
    <row r="20" spans="1:5" x14ac:dyDescent="0.2">
      <c r="A20" s="7" t="s">
        <v>69</v>
      </c>
      <c r="B20" s="19">
        <f>B9-SUM(B12:B15,B17:B19)</f>
        <v>39041.179999999993</v>
      </c>
      <c r="C20" s="19">
        <f>C9-SUM(C12:C15,C17:C19)</f>
        <v>64879.760000000126</v>
      </c>
      <c r="D20" s="19">
        <f>D9-SUM(D12:D15,D17:D19)</f>
        <v>83979.530000000028</v>
      </c>
      <c r="E20" s="19">
        <f>E9-SUM(E12:E15,E17:E19)</f>
        <v>77275.489999999991</v>
      </c>
    </row>
    <row r="21" spans="1:5" x14ac:dyDescent="0.2">
      <c r="A21" s="10" t="s">
        <v>50</v>
      </c>
      <c r="B21" s="13">
        <f>SUM(B12:B19)</f>
        <v>441938.43</v>
      </c>
      <c r="C21" s="13">
        <f>SUM(C12:C19)</f>
        <v>550910.66999999993</v>
      </c>
      <c r="D21" s="13">
        <f>SUM(D12:D19)</f>
        <v>630624.51</v>
      </c>
      <c r="E21" s="13">
        <f>SUM(E12:E19)</f>
        <v>624625.88</v>
      </c>
    </row>
    <row r="22" spans="1:5" x14ac:dyDescent="0.2">
      <c r="A22" s="7" t="s">
        <v>60</v>
      </c>
      <c r="B22" s="13">
        <f>B9-B21</f>
        <v>37722.049999999988</v>
      </c>
      <c r="C22" s="13">
        <f>C9-C21</f>
        <v>63455.750000000116</v>
      </c>
      <c r="D22" s="13">
        <f>D9-D21</f>
        <v>82398.739999999991</v>
      </c>
      <c r="E22" s="13">
        <f>E9-E21</f>
        <v>76003.489999999991</v>
      </c>
    </row>
    <row r="23" spans="1:5" x14ac:dyDescent="0.2">
      <c r="B23" s="12"/>
      <c r="C23" s="12"/>
      <c r="D23" s="12"/>
      <c r="E23" s="12"/>
    </row>
    <row r="24" spans="1:5" x14ac:dyDescent="0.2">
      <c r="A24" s="9" t="s">
        <v>61</v>
      </c>
      <c r="B24" s="12"/>
      <c r="C24" s="12"/>
      <c r="D24" s="12"/>
      <c r="E24" s="12"/>
    </row>
    <row r="25" spans="1:5" x14ac:dyDescent="0.2">
      <c r="A25" s="8" t="s">
        <v>62</v>
      </c>
      <c r="B25" s="12">
        <v>10377.870000000001</v>
      </c>
      <c r="C25" s="12">
        <v>18414.53</v>
      </c>
      <c r="D25" s="12">
        <v>22965.26</v>
      </c>
      <c r="E25" s="12">
        <v>20322.830000000002</v>
      </c>
    </row>
    <row r="26" spans="1:5" x14ac:dyDescent="0.2">
      <c r="A26" s="8" t="s">
        <v>63</v>
      </c>
      <c r="B26" s="12">
        <v>-1671.72</v>
      </c>
      <c r="C26" s="12">
        <v>-2051.2800000000002</v>
      </c>
      <c r="D26" s="12">
        <v>-1166.96</v>
      </c>
      <c r="E26" s="12">
        <v>-811.48</v>
      </c>
    </row>
    <row r="27" spans="1:5" x14ac:dyDescent="0.2">
      <c r="A27" s="7" t="s">
        <v>64</v>
      </c>
      <c r="B27" s="13">
        <f>SUM(B25:B26)</f>
        <v>8706.1500000000015</v>
      </c>
      <c r="C27" s="13">
        <f>SUM(C25:C26)</f>
        <v>16363.249999999998</v>
      </c>
      <c r="D27" s="13">
        <f>SUM(D25:D26)</f>
        <v>21798.3</v>
      </c>
      <c r="E27" s="13">
        <f>SUM(E25:E26)</f>
        <v>19511.350000000002</v>
      </c>
    </row>
    <row r="28" spans="1:5" x14ac:dyDescent="0.2">
      <c r="A28" s="7" t="s">
        <v>105</v>
      </c>
      <c r="B28" s="13">
        <f>B22-B27</f>
        <v>29015.899999999987</v>
      </c>
      <c r="C28" s="13">
        <f>C22-C27</f>
        <v>47092.500000000116</v>
      </c>
      <c r="D28" s="13">
        <f>D22-D27</f>
        <v>60600.439999999988</v>
      </c>
      <c r="E28" s="13">
        <f>E22-E27</f>
        <v>56492.139999999985</v>
      </c>
    </row>
    <row r="30" spans="1:5" x14ac:dyDescent="0.2">
      <c r="A30" s="7" t="s">
        <v>65</v>
      </c>
      <c r="B30" s="15">
        <f>B27/B22</f>
        <v>0.23079737182894366</v>
      </c>
      <c r="C30" s="15">
        <f>C27/C22</f>
        <v>0.25786867226374233</v>
      </c>
      <c r="D30" s="15">
        <f>D27/D22</f>
        <v>0.26454652097835479</v>
      </c>
      <c r="E30" s="15">
        <f>E27/E22</f>
        <v>0.25671650078174046</v>
      </c>
    </row>
    <row r="32" spans="1:5" x14ac:dyDescent="0.2">
      <c r="A32" s="7" t="s">
        <v>66</v>
      </c>
      <c r="B32" s="19">
        <f>B7-B21</f>
        <v>31845.890000000014</v>
      </c>
      <c r="C32" s="19">
        <f>C7-C21</f>
        <v>52165.130000000121</v>
      </c>
      <c r="D32" s="19">
        <f>D7-D21</f>
        <v>67666.059999999939</v>
      </c>
      <c r="E32" s="19">
        <f>E7-E21</f>
        <v>67303</v>
      </c>
    </row>
    <row r="33" spans="1:5" x14ac:dyDescent="0.2">
      <c r="A33" s="7" t="s">
        <v>68</v>
      </c>
      <c r="B33" s="19">
        <f>B20-B17</f>
        <v>17345.319999999992</v>
      </c>
      <c r="C33" s="19">
        <f>C20-C17</f>
        <v>42981.100000000122</v>
      </c>
      <c r="D33" s="19">
        <f>D20-D17</f>
        <v>61900.22000000003</v>
      </c>
      <c r="E33" s="19">
        <f>E20-E17</f>
        <v>56222.909999999989</v>
      </c>
    </row>
  </sheetData>
  <mergeCells count="1">
    <mergeCell ref="A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229B-FD92-4B08-BDD9-FF678C3C436A}">
  <dimension ref="A1:J42"/>
  <sheetViews>
    <sheetView tabSelected="1" zoomScaleNormal="100" workbookViewId="0">
      <pane ySplit="5" topLeftCell="A6" activePane="bottomLeft" state="frozen"/>
      <selection pane="bottomLeft" activeCell="J19" sqref="J19"/>
    </sheetView>
  </sheetViews>
  <sheetFormatPr defaultRowHeight="14.25" x14ac:dyDescent="0.2"/>
  <cols>
    <col min="1" max="1" width="25.28515625" style="4" bestFit="1" customWidth="1"/>
    <col min="2" max="2" width="42.28515625" style="4" bestFit="1" customWidth="1"/>
    <col min="3" max="16384" width="9.140625" style="4"/>
  </cols>
  <sheetData>
    <row r="1" spans="1:10" x14ac:dyDescent="0.2">
      <c r="A1" s="16" t="s">
        <v>46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2">
      <c r="A2" s="16"/>
      <c r="B2" s="16"/>
      <c r="C2" s="16"/>
      <c r="D2" s="16"/>
      <c r="E2" s="16"/>
      <c r="F2" s="16"/>
      <c r="G2" s="16"/>
      <c r="H2" s="16"/>
      <c r="I2" s="16"/>
      <c r="J2" s="16"/>
    </row>
    <row r="4" spans="1:10" x14ac:dyDescent="0.2">
      <c r="G4" s="22"/>
      <c r="H4" s="22"/>
      <c r="I4" s="22"/>
      <c r="J4" s="22"/>
    </row>
    <row r="5" spans="1:10" ht="17.25" thickBot="1" x14ac:dyDescent="0.3">
      <c r="A5" s="14" t="s">
        <v>0</v>
      </c>
      <c r="B5" s="14" t="s">
        <v>106</v>
      </c>
      <c r="C5" s="14">
        <v>2021</v>
      </c>
      <c r="D5" s="14">
        <v>2022</v>
      </c>
      <c r="E5" s="14">
        <v>2023</v>
      </c>
      <c r="F5" s="14">
        <v>2024</v>
      </c>
      <c r="G5" s="20"/>
      <c r="H5" s="20"/>
      <c r="I5" s="20"/>
      <c r="J5" s="20"/>
    </row>
    <row r="6" spans="1:10" ht="15" thickTop="1" x14ac:dyDescent="0.2"/>
    <row r="7" spans="1:10" x14ac:dyDescent="0.2">
      <c r="A7" s="7" t="s">
        <v>70</v>
      </c>
    </row>
    <row r="8" spans="1:10" x14ac:dyDescent="0.2">
      <c r="A8" s="4" t="s">
        <v>71</v>
      </c>
      <c r="B8" s="4" t="s">
        <v>77</v>
      </c>
      <c r="C8" s="36">
        <f>'P&amp;L'!B32/'P&amp;L'!B7</f>
        <v>6.7216006642009621E-2</v>
      </c>
      <c r="D8" s="36">
        <f>'P&amp;L'!C32/'P&amp;L'!C7</f>
        <v>8.6498463377240667E-2</v>
      </c>
      <c r="E8" s="36">
        <f>'P&amp;L'!D32/'P&amp;L'!D7</f>
        <v>9.6902439911224839E-2</v>
      </c>
      <c r="F8" s="36">
        <f>'P&amp;L'!E32/'P&amp;L'!E7</f>
        <v>9.7268667265340905E-2</v>
      </c>
    </row>
    <row r="9" spans="1:10" x14ac:dyDescent="0.2">
      <c r="A9" s="4" t="s">
        <v>72</v>
      </c>
      <c r="B9" s="4" t="s">
        <v>76</v>
      </c>
      <c r="C9" s="36">
        <f>'P&amp;L'!B33/'P&amp;L'!B9</f>
        <v>3.6161661682029743E-2</v>
      </c>
      <c r="D9" s="36">
        <f>'P&amp;L'!C33/'P&amp;L'!C9</f>
        <v>6.996004111031999E-2</v>
      </c>
      <c r="E9" s="36">
        <f>'P&amp;L'!D33/'P&amp;L'!D9</f>
        <v>8.681374695705929E-2</v>
      </c>
      <c r="F9" s="36">
        <f>'P&amp;L'!E33/'P&amp;L'!E9</f>
        <v>8.024629341473366E-2</v>
      </c>
    </row>
    <row r="10" spans="1:10" ht="15" thickBot="1" x14ac:dyDescent="0.25">
      <c r="A10" s="40" t="s">
        <v>73</v>
      </c>
      <c r="B10" s="40" t="s">
        <v>75</v>
      </c>
      <c r="C10" s="41">
        <f>'P&amp;L'!B28/'P&amp;L'!B9</f>
        <v>6.0492580084980083E-2</v>
      </c>
      <c r="D10" s="41">
        <f>'P&amp;L'!C28/'P&amp;L'!C9</f>
        <v>7.6652138637395117E-2</v>
      </c>
      <c r="E10" s="41">
        <f>'P&amp;L'!D28/'P&amp;L'!D9</f>
        <v>8.4990833047870445E-2</v>
      </c>
      <c r="F10" s="41">
        <f>'P&amp;L'!E28/'P&amp;L'!E9</f>
        <v>8.0630562204379169E-2</v>
      </c>
    </row>
    <row r="11" spans="1:10" x14ac:dyDescent="0.2">
      <c r="A11" s="4" t="s">
        <v>74</v>
      </c>
    </row>
    <row r="12" spans="1:10" x14ac:dyDescent="0.2">
      <c r="A12" s="7" t="s">
        <v>78</v>
      </c>
    </row>
    <row r="13" spans="1:10" x14ac:dyDescent="0.2">
      <c r="A13" s="4" t="s">
        <v>79</v>
      </c>
      <c r="B13" s="4" t="s">
        <v>81</v>
      </c>
      <c r="C13" s="36">
        <f>'P&amp;L'!B28/'Balance Sheet'!B34</f>
        <v>0.17213728672234718</v>
      </c>
      <c r="D13" s="36">
        <f>'P&amp;L'!C28/'Balance Sheet'!C34</f>
        <v>0.23481888491832795</v>
      </c>
      <c r="E13" s="36">
        <f>'P&amp;L'!D28/'Balance Sheet'!D34</f>
        <v>0.56818290706329655</v>
      </c>
      <c r="F13" s="36">
        <f>'P&amp;L'!E28/'Balance Sheet'!E34</f>
        <v>0.3466527249928128</v>
      </c>
    </row>
    <row r="14" spans="1:10" ht="15" thickBot="1" x14ac:dyDescent="0.25">
      <c r="A14" s="40" t="s">
        <v>80</v>
      </c>
      <c r="B14" s="40" t="s">
        <v>82</v>
      </c>
      <c r="C14" s="42">
        <f>'P&amp;L'!B33/('Balance Sheet'!B34+'Balance Sheet'!B47+'Balance Sheet'!B39)</f>
        <v>9.6382765156903402E-2</v>
      </c>
      <c r="D14" s="42">
        <f>'P&amp;L'!C33/('Balance Sheet'!C34+'Balance Sheet'!C47+'Balance Sheet'!C39)</f>
        <v>0.20261279912553518</v>
      </c>
      <c r="E14" s="42">
        <f>'P&amp;L'!D33/('Balance Sheet'!D34+'Balance Sheet'!D47+'Balance Sheet'!D39)</f>
        <v>0.54139003978809097</v>
      </c>
      <c r="F14" s="42">
        <f>'P&amp;L'!E33/('Balance Sheet'!E34+'Balance Sheet'!E47+'Balance Sheet'!E39)</f>
        <v>0.32901425479085378</v>
      </c>
    </row>
    <row r="16" spans="1:10" x14ac:dyDescent="0.2">
      <c r="A16" s="7" t="s">
        <v>83</v>
      </c>
    </row>
    <row r="17" spans="1:7" x14ac:dyDescent="0.2">
      <c r="A17" s="4" t="s">
        <v>84</v>
      </c>
      <c r="B17" s="4" t="s">
        <v>91</v>
      </c>
      <c r="C17" s="37">
        <f>('Balance Sheet'!B39+'Balance Sheet'!B47)/'Balance Sheet'!B34</f>
        <v>6.7632638447864005E-2</v>
      </c>
      <c r="D17" s="37">
        <f>('Balance Sheet'!C39+'Balance Sheet'!C47)/'Balance Sheet'!C34</f>
        <v>5.7771653674443722E-2</v>
      </c>
      <c r="E17" s="37">
        <f>('Balance Sheet'!D39+'Balance Sheet'!D47)/'Balance Sheet'!D34</f>
        <v>7.1998846390803686E-2</v>
      </c>
      <c r="F17" s="37">
        <f>('Balance Sheet'!E39+'Balance Sheet'!E47)/'Balance Sheet'!E34</f>
        <v>4.8588758359558351E-2</v>
      </c>
    </row>
    <row r="18" spans="1:7" ht="15" thickBot="1" x14ac:dyDescent="0.25">
      <c r="A18" s="40" t="s">
        <v>85</v>
      </c>
      <c r="B18" s="40" t="s">
        <v>92</v>
      </c>
      <c r="C18" s="43">
        <f>'P&amp;L'!B33/'P&amp;L'!B16</f>
        <v>13.149060365543949</v>
      </c>
      <c r="D18" s="43">
        <f>'P&amp;L'!C33/'P&amp;L'!C16</f>
        <v>30.183144781286735</v>
      </c>
      <c r="E18" s="43">
        <f>'P&amp;L'!D33/'P&amp;L'!D16</f>
        <v>39.157775542608462</v>
      </c>
      <c r="F18" s="43">
        <f>'P&amp;L'!E33/'P&amp;L'!E16</f>
        <v>44.200400943396218</v>
      </c>
    </row>
    <row r="20" spans="1:7" x14ac:dyDescent="0.2">
      <c r="A20" s="7" t="s">
        <v>86</v>
      </c>
    </row>
    <row r="21" spans="1:7" x14ac:dyDescent="0.2">
      <c r="A21" s="4" t="s">
        <v>87</v>
      </c>
      <c r="B21" s="4" t="s">
        <v>94</v>
      </c>
      <c r="C21" s="37">
        <f>'P&amp;L'!B7/'Balance Sheet'!B29</f>
        <v>1.6706041997516365</v>
      </c>
      <c r="D21" s="37">
        <f>'P&amp;L'!C7/'Balance Sheet'!C29</f>
        <v>1.7443375881915031</v>
      </c>
      <c r="E21" s="37">
        <f>'P&amp;L'!D7/'Balance Sheet'!D29</f>
        <v>2.6501350228441085</v>
      </c>
      <c r="F21" s="37">
        <f>'P&amp;L'!E7/'Balance Sheet'!E29</f>
        <v>2.2989687566939017</v>
      </c>
    </row>
    <row r="22" spans="1:7" x14ac:dyDescent="0.2">
      <c r="A22" s="4" t="s">
        <v>88</v>
      </c>
      <c r="B22" s="4" t="s">
        <v>93</v>
      </c>
      <c r="C22" s="37">
        <f>'P&amp;L'!B7/'Balance Sheet'!B22</f>
        <v>21.70925588123572</v>
      </c>
      <c r="D22" s="37">
        <f>'P&amp;L'!C7/'Balance Sheet'!C22</f>
        <v>20.815872748509594</v>
      </c>
      <c r="E22" s="37">
        <f>'P&amp;L'!D7/'Balance Sheet'!D22</f>
        <v>27.820053258412461</v>
      </c>
      <c r="F22" s="37">
        <f>'P&amp;L'!E7/'Balance Sheet'!E22</f>
        <v>28.96162650478858</v>
      </c>
    </row>
    <row r="23" spans="1:7" x14ac:dyDescent="0.2">
      <c r="A23" s="4" t="s">
        <v>89</v>
      </c>
      <c r="B23" s="4" t="s">
        <v>95</v>
      </c>
      <c r="C23" s="37">
        <f>'P&amp;L'!B7/'Balance Sheet'!B20</f>
        <v>16.444449380796357</v>
      </c>
      <c r="D23" s="37">
        <f>'P&amp;L'!C7/'Balance Sheet'!C20</f>
        <v>17.621383066722888</v>
      </c>
      <c r="E23" s="37">
        <f>'P&amp;L'!D7/'Balance Sheet'!D20</f>
        <v>21.060576138041981</v>
      </c>
      <c r="F23" s="37">
        <f>'P&amp;L'!E7/'Balance Sheet'!E20</f>
        <v>20.324803773517289</v>
      </c>
    </row>
    <row r="24" spans="1:7" ht="15" thickBot="1" x14ac:dyDescent="0.25">
      <c r="A24" s="40" t="s">
        <v>90</v>
      </c>
      <c r="B24" s="40" t="s">
        <v>96</v>
      </c>
      <c r="C24" s="43">
        <f>'P&amp;L'!B7/('Balance Sheet'!B50+'Balance Sheet'!B51)</f>
        <v>8.7617314553240462</v>
      </c>
      <c r="D24" s="43">
        <f>'P&amp;L'!C7/('Balance Sheet'!C50+'Balance Sheet'!C51)</f>
        <v>8.10495225600474</v>
      </c>
      <c r="E24" s="43">
        <f>'P&amp;L'!D7/('Balance Sheet'!D50+'Balance Sheet'!D51)</f>
        <v>9.3191679977878188</v>
      </c>
      <c r="F24" s="43">
        <f>'P&amp;L'!E7/('Balance Sheet'!E50+'Balance Sheet'!E51)</f>
        <v>9.7644449612543127</v>
      </c>
    </row>
    <row r="27" spans="1:7" ht="28.5" x14ac:dyDescent="0.2">
      <c r="A27" s="35" t="s">
        <v>97</v>
      </c>
    </row>
    <row r="28" spans="1:7" x14ac:dyDescent="0.2">
      <c r="A28" s="4" t="s">
        <v>98</v>
      </c>
      <c r="B28" s="4" t="s">
        <v>102</v>
      </c>
      <c r="C28" s="18">
        <f>365/C22</f>
        <v>16.813105064346576</v>
      </c>
      <c r="D28" s="18">
        <f t="shared" ref="D28:F28" si="0">365/D22</f>
        <v>17.534695970224636</v>
      </c>
      <c r="E28" s="18">
        <f t="shared" si="0"/>
        <v>13.120032395683076</v>
      </c>
      <c r="F28" s="18">
        <f t="shared" si="0"/>
        <v>12.602883333905645</v>
      </c>
    </row>
    <row r="29" spans="1:7" x14ac:dyDescent="0.2">
      <c r="A29" s="4" t="s">
        <v>99</v>
      </c>
      <c r="B29" s="4" t="s">
        <v>103</v>
      </c>
      <c r="C29" s="18">
        <f t="shared" ref="C29:F30" si="1">365/C23</f>
        <v>22.195939283089825</v>
      </c>
      <c r="D29" s="18">
        <f t="shared" si="1"/>
        <v>20.713470595238604</v>
      </c>
      <c r="E29" s="18">
        <f t="shared" si="1"/>
        <v>17.33095987534244</v>
      </c>
      <c r="F29" s="18">
        <f t="shared" si="1"/>
        <v>17.958352959627874</v>
      </c>
    </row>
    <row r="30" spans="1:7" ht="15" thickBot="1" x14ac:dyDescent="0.25">
      <c r="A30" s="40" t="s">
        <v>100</v>
      </c>
      <c r="B30" s="40" t="s">
        <v>104</v>
      </c>
      <c r="C30" s="48">
        <f t="shared" si="1"/>
        <v>41.658432680929586</v>
      </c>
      <c r="D30" s="48">
        <f t="shared" si="1"/>
        <v>45.034194955261007</v>
      </c>
      <c r="E30" s="48">
        <f t="shared" si="1"/>
        <v>39.166586554362318</v>
      </c>
      <c r="F30" s="48">
        <f t="shared" si="1"/>
        <v>37.380516910928762</v>
      </c>
    </row>
    <row r="31" spans="1:7" x14ac:dyDescent="0.2">
      <c r="A31" s="22"/>
      <c r="B31" s="22"/>
      <c r="C31" s="47"/>
      <c r="D31" s="47"/>
      <c r="E31" s="47"/>
      <c r="F31" s="47"/>
      <c r="G31" s="22"/>
    </row>
    <row r="32" spans="1:7" ht="29.25" thickBot="1" x14ac:dyDescent="0.25">
      <c r="A32" s="44" t="s">
        <v>101</v>
      </c>
      <c r="B32" s="45" t="s">
        <v>107</v>
      </c>
      <c r="C32" s="41">
        <f>C10*C21*('Balance Sheet'!B29/'Balance Sheet'!B34)</f>
        <v>0.17002849043638593</v>
      </c>
      <c r="D32" s="41">
        <f>D10*D21*('Balance Sheet'!C29/'Balance Sheet'!C34)</f>
        <v>0.23050346221271106</v>
      </c>
      <c r="E32" s="41">
        <f>E10*E21*('Balance Sheet'!D29/'Balance Sheet'!D34)</f>
        <v>0.55644295755781648</v>
      </c>
      <c r="F32" s="41">
        <f>F10*F21*('Balance Sheet'!E29/'Balance Sheet'!E34)</f>
        <v>0.3423479546014821</v>
      </c>
    </row>
    <row r="35" spans="1:6" x14ac:dyDescent="0.2">
      <c r="A35" s="7" t="s">
        <v>108</v>
      </c>
      <c r="B35" s="8" t="s">
        <v>52</v>
      </c>
      <c r="C35" s="39">
        <f>'P&amp;L'!B12/'P&amp;L'!B$7</f>
        <v>0.74360434722702518</v>
      </c>
      <c r="D35" s="39">
        <f>'P&amp;L'!C12/'P&amp;L'!C$7</f>
        <v>0.73802720984658965</v>
      </c>
      <c r="E35" s="39">
        <f>'P&amp;L'!D12/'P&amp;L'!D$7</f>
        <v>0.73462242229620833</v>
      </c>
      <c r="F35" s="39">
        <f>'P&amp;L'!E12/'P&amp;L'!E$7</f>
        <v>0.71391567006135082</v>
      </c>
    </row>
    <row r="36" spans="1:6" x14ac:dyDescent="0.2">
      <c r="B36" s="8" t="s">
        <v>53</v>
      </c>
      <c r="C36" s="39">
        <f>'P&amp;L'!B13/'P&amp;L'!B$7</f>
        <v>1.385451084577894E-2</v>
      </c>
      <c r="D36" s="39">
        <f>'P&amp;L'!C13/'P&amp;L'!C$7</f>
        <v>1.0884469249139161E-2</v>
      </c>
      <c r="E36" s="39">
        <f>'P&amp;L'!D13/'P&amp;L'!D$7</f>
        <v>6.2069719772959286E-3</v>
      </c>
      <c r="F36" s="39">
        <f>'P&amp;L'!E13/'P&amp;L'!E$7</f>
        <v>1.07054499589611E-2</v>
      </c>
    </row>
    <row r="37" spans="1:6" x14ac:dyDescent="0.2">
      <c r="B37" s="8" t="s">
        <v>54</v>
      </c>
      <c r="C37" s="39">
        <f>'P&amp;L'!B14/'P&amp;L'!B$7</f>
        <v>-1.3111451218985044E-3</v>
      </c>
      <c r="D37" s="39">
        <f>'P&amp;L'!C14/'P&amp;L'!C$7</f>
        <v>-2.240530958131631E-3</v>
      </c>
      <c r="E37" s="39">
        <f>'P&amp;L'!D14/'P&amp;L'!D$7</f>
        <v>-1.9830426752003825E-3</v>
      </c>
      <c r="F37" s="39">
        <f>'P&amp;L'!E14/'P&amp;L'!E$7</f>
        <v>-2.5614915798860714E-3</v>
      </c>
    </row>
    <row r="38" spans="1:6" x14ac:dyDescent="0.2">
      <c r="B38" s="8" t="s">
        <v>55</v>
      </c>
      <c r="C38" s="39">
        <f>'P&amp;L'!B15/'P&amp;L'!B$7</f>
        <v>3.4776119226571284E-2</v>
      </c>
      <c r="D38" s="39">
        <f>'P&amp;L'!C15/'P&amp;L'!C$7</f>
        <v>2.928696525378733E-2</v>
      </c>
      <c r="E38" s="39">
        <f>'P&amp;L'!D15/'P&amp;L'!D$7</f>
        <v>2.8290343373819301E-2</v>
      </c>
      <c r="F38" s="39">
        <f>'P&amp;L'!E15/'P&amp;L'!E$7</f>
        <v>3.3402406906328293E-2</v>
      </c>
    </row>
    <row r="39" spans="1:6" x14ac:dyDescent="0.2">
      <c r="B39" s="8" t="s">
        <v>56</v>
      </c>
      <c r="C39" s="39">
        <f>'P&amp;L'!B16/'P&amp;L'!B$7</f>
        <v>2.7842415721989282E-3</v>
      </c>
      <c r="D39" s="39">
        <f>'P&amp;L'!C16/'P&amp;L'!C$7</f>
        <v>2.3612454686458982E-3</v>
      </c>
      <c r="E39" s="39">
        <f>'P&amp;L'!D16/'P&amp;L'!D$7</f>
        <v>2.2637997245186915E-3</v>
      </c>
      <c r="F39" s="39">
        <f>'P&amp;L'!E16/'P&amp;L'!E$7</f>
        <v>1.8383392235340719E-3</v>
      </c>
    </row>
    <row r="40" spans="1:6" x14ac:dyDescent="0.2">
      <c r="B40" s="8" t="s">
        <v>57</v>
      </c>
      <c r="C40" s="39">
        <f>'P&amp;L'!B17/'P&amp;L'!B$7</f>
        <v>4.5792693181572579E-2</v>
      </c>
      <c r="D40" s="39">
        <f>'P&amp;L'!C17/'P&amp;L'!C$7</f>
        <v>3.6311621192559873E-2</v>
      </c>
      <c r="E40" s="39">
        <f>'P&amp;L'!D17/'P&amp;L'!D$7</f>
        <v>3.161908659313558E-2</v>
      </c>
      <c r="F40" s="39">
        <f>'P&amp;L'!E17/'P&amp;L'!E$7</f>
        <v>3.0425930480022748E-2</v>
      </c>
    </row>
    <row r="41" spans="1:6" x14ac:dyDescent="0.2">
      <c r="B41" s="8" t="s">
        <v>58</v>
      </c>
      <c r="C41" s="39">
        <f>'P&amp;L'!B18/'P&amp;L'!B$7</f>
        <v>9.3708757605148255E-2</v>
      </c>
      <c r="D41" s="39">
        <f>'P&amp;L'!C18/'P&amp;L'!C$7</f>
        <v>9.965364221213982E-2</v>
      </c>
      <c r="E41" s="39">
        <f>'P&amp;L'!D18/'P&amp;L'!D$7</f>
        <v>0.10285191163329044</v>
      </c>
      <c r="F41" s="39">
        <f>'P&amp;L'!E18/'P&amp;L'!E$7</f>
        <v>0.1156040776907592</v>
      </c>
    </row>
    <row r="42" spans="1:6" ht="15" thickBot="1" x14ac:dyDescent="0.25">
      <c r="B42" s="46" t="s">
        <v>59</v>
      </c>
      <c r="C42" s="41">
        <f>'P&amp;L'!B19/'P&amp;L'!B$7</f>
        <v>-4.2553117840624192E-4</v>
      </c>
      <c r="D42" s="41">
        <f>'P&amp;L'!C19/'P&amp;L'!C$7</f>
        <v>-7.8308564197071074E-4</v>
      </c>
      <c r="E42" s="41">
        <f>'P&amp;L'!D19/'P&amp;L'!D$7</f>
        <v>-7.7393283429275008E-4</v>
      </c>
      <c r="F42" s="41">
        <f>'P&amp;L'!E19/'P&amp;L'!E$7</f>
        <v>-5.9905000641106347E-4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P&amp;L</vt:lpstr>
      <vt:lpstr>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Hashim yasin</dc:creator>
  <cp:lastModifiedBy>Hashim yasin</cp:lastModifiedBy>
  <dcterms:created xsi:type="dcterms:W3CDTF">2025-12-24T14:18:04Z</dcterms:created>
  <dcterms:modified xsi:type="dcterms:W3CDTF">2025-12-26T14:34:43Z</dcterms:modified>
</cp:coreProperties>
</file>