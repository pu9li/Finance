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shimyasin/Documents/XL/Mine/"/>
    </mc:Choice>
  </mc:AlternateContent>
  <xr:revisionPtr revIDLastSave="0" documentId="8_{353F25E5-45BE-E342-9D1E-ECCF9BC0851C}" xr6:coauthVersionLast="47" xr6:coauthVersionMax="47" xr10:uidLastSave="{00000000-0000-0000-0000-000000000000}"/>
  <bookViews>
    <workbookView xWindow="0" yWindow="660" windowWidth="29400" windowHeight="18460" activeTab="1" xr2:uid="{76E9D2FC-630E-5648-A2C2-13A67159AD69}"/>
  </bookViews>
  <sheets>
    <sheet name="Financials&gt;" sheetId="8" r:id="rId1"/>
    <sheet name="Financial Statements" sheetId="1" r:id="rId2"/>
    <sheet name="Historicals&gt;" sheetId="4" r:id="rId3"/>
    <sheet name="DATA&gt;" sheetId="7" r:id="rId4"/>
    <sheet name="Data Sheet" sheetId="5" r:id="rId5"/>
    <sheet name="Raw CF Data" sheetId="6" r:id="rId6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UPDATE">'Data Sheet'!$E$1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" i="1" l="1"/>
  <c r="L10" i="1"/>
  <c r="K10" i="1"/>
  <c r="J10" i="1"/>
  <c r="I10" i="1"/>
  <c r="H10" i="1"/>
  <c r="G10" i="1"/>
  <c r="F10" i="1"/>
  <c r="E10" i="1"/>
  <c r="D10" i="1"/>
  <c r="N45" i="1" l="1"/>
  <c r="D99" i="1" l="1"/>
  <c r="E99" i="1"/>
  <c r="F99" i="1"/>
  <c r="G99" i="1"/>
  <c r="H99" i="1"/>
  <c r="I99" i="1"/>
  <c r="J99" i="1"/>
  <c r="K99" i="1"/>
  <c r="L99" i="1"/>
  <c r="M99" i="1"/>
  <c r="D100" i="1"/>
  <c r="E100" i="1"/>
  <c r="F100" i="1"/>
  <c r="G100" i="1"/>
  <c r="H100" i="1"/>
  <c r="I100" i="1"/>
  <c r="J100" i="1"/>
  <c r="K100" i="1"/>
  <c r="L100" i="1"/>
  <c r="M100" i="1"/>
  <c r="D101" i="1"/>
  <c r="E101" i="1"/>
  <c r="F101" i="1"/>
  <c r="G101" i="1"/>
  <c r="H101" i="1"/>
  <c r="I101" i="1"/>
  <c r="J101" i="1"/>
  <c r="K101" i="1"/>
  <c r="L101" i="1"/>
  <c r="M101" i="1"/>
  <c r="D102" i="1"/>
  <c r="E102" i="1"/>
  <c r="F102" i="1"/>
  <c r="G102" i="1"/>
  <c r="H102" i="1"/>
  <c r="I102" i="1"/>
  <c r="J102" i="1"/>
  <c r="K102" i="1"/>
  <c r="L102" i="1"/>
  <c r="M102" i="1"/>
  <c r="D103" i="1"/>
  <c r="E103" i="1"/>
  <c r="F103" i="1"/>
  <c r="G103" i="1"/>
  <c r="H103" i="1"/>
  <c r="I103" i="1"/>
  <c r="J103" i="1"/>
  <c r="K103" i="1"/>
  <c r="L103" i="1"/>
  <c r="M103" i="1"/>
  <c r="D104" i="1"/>
  <c r="E104" i="1"/>
  <c r="F104" i="1"/>
  <c r="G104" i="1"/>
  <c r="H104" i="1"/>
  <c r="I104" i="1"/>
  <c r="J104" i="1"/>
  <c r="K104" i="1"/>
  <c r="L104" i="1"/>
  <c r="M104" i="1"/>
  <c r="E98" i="1"/>
  <c r="F98" i="1"/>
  <c r="G98" i="1"/>
  <c r="H98" i="1"/>
  <c r="I98" i="1"/>
  <c r="J98" i="1"/>
  <c r="K98" i="1"/>
  <c r="L98" i="1"/>
  <c r="M98" i="1"/>
  <c r="D98" i="1"/>
  <c r="D85" i="1"/>
  <c r="E85" i="1"/>
  <c r="F85" i="1"/>
  <c r="G85" i="1"/>
  <c r="H85" i="1"/>
  <c r="I85" i="1"/>
  <c r="J85" i="1"/>
  <c r="K85" i="1"/>
  <c r="L85" i="1"/>
  <c r="M85" i="1"/>
  <c r="D86" i="1"/>
  <c r="E86" i="1"/>
  <c r="F86" i="1"/>
  <c r="G86" i="1"/>
  <c r="H86" i="1"/>
  <c r="I86" i="1"/>
  <c r="J86" i="1"/>
  <c r="K86" i="1"/>
  <c r="L86" i="1"/>
  <c r="M86" i="1"/>
  <c r="D87" i="1"/>
  <c r="E87" i="1"/>
  <c r="F87" i="1"/>
  <c r="G87" i="1"/>
  <c r="H87" i="1"/>
  <c r="I87" i="1"/>
  <c r="J87" i="1"/>
  <c r="K87" i="1"/>
  <c r="L87" i="1"/>
  <c r="M87" i="1"/>
  <c r="D88" i="1"/>
  <c r="E88" i="1"/>
  <c r="F88" i="1"/>
  <c r="G88" i="1"/>
  <c r="H88" i="1"/>
  <c r="I88" i="1"/>
  <c r="J88" i="1"/>
  <c r="K88" i="1"/>
  <c r="L88" i="1"/>
  <c r="M88" i="1"/>
  <c r="D89" i="1"/>
  <c r="E89" i="1"/>
  <c r="F89" i="1"/>
  <c r="G89" i="1"/>
  <c r="H89" i="1"/>
  <c r="I89" i="1"/>
  <c r="J89" i="1"/>
  <c r="K89" i="1"/>
  <c r="L89" i="1"/>
  <c r="M89" i="1"/>
  <c r="D90" i="1"/>
  <c r="E90" i="1"/>
  <c r="F90" i="1"/>
  <c r="G90" i="1"/>
  <c r="H90" i="1"/>
  <c r="I90" i="1"/>
  <c r="J90" i="1"/>
  <c r="K90" i="1"/>
  <c r="L90" i="1"/>
  <c r="M90" i="1"/>
  <c r="D91" i="1"/>
  <c r="E91" i="1"/>
  <c r="F91" i="1"/>
  <c r="G91" i="1"/>
  <c r="H91" i="1"/>
  <c r="I91" i="1"/>
  <c r="J91" i="1"/>
  <c r="K91" i="1"/>
  <c r="L91" i="1"/>
  <c r="M91" i="1"/>
  <c r="D92" i="1"/>
  <c r="E92" i="1"/>
  <c r="F92" i="1"/>
  <c r="G92" i="1"/>
  <c r="H92" i="1"/>
  <c r="I92" i="1"/>
  <c r="J92" i="1"/>
  <c r="K92" i="1"/>
  <c r="L92" i="1"/>
  <c r="M92" i="1"/>
  <c r="D93" i="1"/>
  <c r="E93" i="1"/>
  <c r="F93" i="1"/>
  <c r="G93" i="1"/>
  <c r="H93" i="1"/>
  <c r="I93" i="1"/>
  <c r="J93" i="1"/>
  <c r="K93" i="1"/>
  <c r="L93" i="1"/>
  <c r="M93" i="1"/>
  <c r="D94" i="1"/>
  <c r="E94" i="1"/>
  <c r="F94" i="1"/>
  <c r="G94" i="1"/>
  <c r="H94" i="1"/>
  <c r="I94" i="1"/>
  <c r="J94" i="1"/>
  <c r="K94" i="1"/>
  <c r="L94" i="1"/>
  <c r="M94" i="1"/>
  <c r="D95" i="1"/>
  <c r="E95" i="1"/>
  <c r="F95" i="1"/>
  <c r="G95" i="1"/>
  <c r="H95" i="1"/>
  <c r="I95" i="1"/>
  <c r="J95" i="1"/>
  <c r="K95" i="1"/>
  <c r="L95" i="1"/>
  <c r="M95" i="1"/>
  <c r="E84" i="1"/>
  <c r="F84" i="1"/>
  <c r="G84" i="1"/>
  <c r="H84" i="1"/>
  <c r="I84" i="1"/>
  <c r="J84" i="1"/>
  <c r="K84" i="1"/>
  <c r="L84" i="1"/>
  <c r="M84" i="1"/>
  <c r="D84" i="1"/>
  <c r="D75" i="1"/>
  <c r="E75" i="1"/>
  <c r="F75" i="1"/>
  <c r="G75" i="1"/>
  <c r="H75" i="1"/>
  <c r="I75" i="1"/>
  <c r="J75" i="1"/>
  <c r="K75" i="1"/>
  <c r="L75" i="1"/>
  <c r="M75" i="1"/>
  <c r="D76" i="1"/>
  <c r="E76" i="1"/>
  <c r="F76" i="1"/>
  <c r="G76" i="1"/>
  <c r="H76" i="1"/>
  <c r="I76" i="1"/>
  <c r="J76" i="1"/>
  <c r="K76" i="1"/>
  <c r="L76" i="1"/>
  <c r="M76" i="1"/>
  <c r="D77" i="1"/>
  <c r="E77" i="1"/>
  <c r="F77" i="1"/>
  <c r="G77" i="1"/>
  <c r="H77" i="1"/>
  <c r="I77" i="1"/>
  <c r="J77" i="1"/>
  <c r="K77" i="1"/>
  <c r="L77" i="1"/>
  <c r="M77" i="1"/>
  <c r="D78" i="1"/>
  <c r="E78" i="1"/>
  <c r="F78" i="1"/>
  <c r="G78" i="1"/>
  <c r="H78" i="1"/>
  <c r="I78" i="1"/>
  <c r="J78" i="1"/>
  <c r="K78" i="1"/>
  <c r="L78" i="1"/>
  <c r="M78" i="1"/>
  <c r="D79" i="1"/>
  <c r="E79" i="1"/>
  <c r="F79" i="1"/>
  <c r="G79" i="1"/>
  <c r="H79" i="1"/>
  <c r="I79" i="1"/>
  <c r="J79" i="1"/>
  <c r="K79" i="1"/>
  <c r="L79" i="1"/>
  <c r="M79" i="1"/>
  <c r="D80" i="1"/>
  <c r="E80" i="1"/>
  <c r="F80" i="1"/>
  <c r="G80" i="1"/>
  <c r="H80" i="1"/>
  <c r="I80" i="1"/>
  <c r="J80" i="1"/>
  <c r="K80" i="1"/>
  <c r="L80" i="1"/>
  <c r="M80" i="1"/>
  <c r="D81" i="1"/>
  <c r="E81" i="1"/>
  <c r="F81" i="1"/>
  <c r="G81" i="1"/>
  <c r="H81" i="1"/>
  <c r="I81" i="1"/>
  <c r="J81" i="1"/>
  <c r="K81" i="1"/>
  <c r="L81" i="1"/>
  <c r="M81" i="1"/>
  <c r="E74" i="1"/>
  <c r="F74" i="1"/>
  <c r="G74" i="1"/>
  <c r="H74" i="1"/>
  <c r="I74" i="1"/>
  <c r="J74" i="1"/>
  <c r="K74" i="1"/>
  <c r="L74" i="1"/>
  <c r="M74" i="1"/>
  <c r="D74" i="1"/>
  <c r="D2" i="1"/>
  <c r="D63" i="1"/>
  <c r="E63" i="1"/>
  <c r="F63" i="1"/>
  <c r="G63" i="1"/>
  <c r="H63" i="1"/>
  <c r="I63" i="1"/>
  <c r="J63" i="1"/>
  <c r="K63" i="1"/>
  <c r="L63" i="1"/>
  <c r="M63" i="1"/>
  <c r="D64" i="1"/>
  <c r="E64" i="1"/>
  <c r="F64" i="1"/>
  <c r="G64" i="1"/>
  <c r="H64" i="1"/>
  <c r="I64" i="1"/>
  <c r="J64" i="1"/>
  <c r="K64" i="1"/>
  <c r="L64" i="1"/>
  <c r="M64" i="1"/>
  <c r="E62" i="1"/>
  <c r="F62" i="1"/>
  <c r="G62" i="1"/>
  <c r="H62" i="1"/>
  <c r="I62" i="1"/>
  <c r="J62" i="1"/>
  <c r="K62" i="1"/>
  <c r="L62" i="1"/>
  <c r="M62" i="1"/>
  <c r="D62" i="1"/>
  <c r="M59" i="1"/>
  <c r="E59" i="1"/>
  <c r="F59" i="1"/>
  <c r="G59" i="1"/>
  <c r="H59" i="1"/>
  <c r="I59" i="1"/>
  <c r="J59" i="1"/>
  <c r="K59" i="1"/>
  <c r="L59" i="1"/>
  <c r="D59" i="1"/>
  <c r="D57" i="1"/>
  <c r="E57" i="1"/>
  <c r="F57" i="1"/>
  <c r="G57" i="1"/>
  <c r="H57" i="1"/>
  <c r="I57" i="1"/>
  <c r="J57" i="1"/>
  <c r="K57" i="1"/>
  <c r="L57" i="1"/>
  <c r="M57" i="1"/>
  <c r="D58" i="1"/>
  <c r="E58" i="1"/>
  <c r="F58" i="1"/>
  <c r="G58" i="1"/>
  <c r="H58" i="1"/>
  <c r="I58" i="1"/>
  <c r="J58" i="1"/>
  <c r="K58" i="1"/>
  <c r="L58" i="1"/>
  <c r="M58" i="1"/>
  <c r="E56" i="1"/>
  <c r="F56" i="1"/>
  <c r="G56" i="1"/>
  <c r="H56" i="1"/>
  <c r="I56" i="1"/>
  <c r="J56" i="1"/>
  <c r="K56" i="1"/>
  <c r="L56" i="1"/>
  <c r="M56" i="1"/>
  <c r="D56" i="1"/>
  <c r="D53" i="1"/>
  <c r="E53" i="1"/>
  <c r="F53" i="1"/>
  <c r="G53" i="1"/>
  <c r="H53" i="1"/>
  <c r="I53" i="1"/>
  <c r="J53" i="1"/>
  <c r="K53" i="1"/>
  <c r="L53" i="1"/>
  <c r="M53" i="1"/>
  <c r="D51" i="1"/>
  <c r="E51" i="1"/>
  <c r="F51" i="1"/>
  <c r="G51" i="1"/>
  <c r="H51" i="1"/>
  <c r="I51" i="1"/>
  <c r="J51" i="1"/>
  <c r="K51" i="1"/>
  <c r="L51" i="1"/>
  <c r="M51" i="1"/>
  <c r="D52" i="1"/>
  <c r="E52" i="1"/>
  <c r="F52" i="1"/>
  <c r="G52" i="1"/>
  <c r="H52" i="1"/>
  <c r="I52" i="1"/>
  <c r="J52" i="1"/>
  <c r="K52" i="1"/>
  <c r="L52" i="1"/>
  <c r="M52" i="1"/>
  <c r="E50" i="1"/>
  <c r="F50" i="1"/>
  <c r="G50" i="1"/>
  <c r="H50" i="1"/>
  <c r="I50" i="1"/>
  <c r="J50" i="1"/>
  <c r="K50" i="1"/>
  <c r="L50" i="1"/>
  <c r="M50" i="1"/>
  <c r="D50" i="1"/>
  <c r="K32" i="5"/>
  <c r="M42" i="1"/>
  <c r="N42" i="1" s="1"/>
  <c r="E42" i="1"/>
  <c r="F42" i="1"/>
  <c r="G42" i="1"/>
  <c r="H42" i="1"/>
  <c r="I42" i="1"/>
  <c r="J42" i="1"/>
  <c r="K42" i="1"/>
  <c r="L42" i="1"/>
  <c r="D42" i="1"/>
  <c r="D40" i="1"/>
  <c r="M37" i="1"/>
  <c r="N37" i="1" s="1"/>
  <c r="L37" i="1"/>
  <c r="K37" i="1"/>
  <c r="J37" i="1"/>
  <c r="I37" i="1"/>
  <c r="H37" i="1"/>
  <c r="G37" i="1"/>
  <c r="F37" i="1"/>
  <c r="E37" i="1"/>
  <c r="D37" i="1"/>
  <c r="N31" i="1"/>
  <c r="M31" i="1"/>
  <c r="L31" i="1"/>
  <c r="K31" i="1"/>
  <c r="J31" i="1"/>
  <c r="I31" i="1"/>
  <c r="H31" i="1"/>
  <c r="G31" i="1"/>
  <c r="F31" i="1"/>
  <c r="E31" i="1"/>
  <c r="D31" i="1"/>
  <c r="N25" i="1"/>
  <c r="M25" i="1"/>
  <c r="L25" i="1"/>
  <c r="K25" i="1"/>
  <c r="J25" i="1"/>
  <c r="I25" i="1"/>
  <c r="H25" i="1"/>
  <c r="G25" i="1"/>
  <c r="F25" i="1"/>
  <c r="E25" i="1"/>
  <c r="D25" i="1"/>
  <c r="N22" i="1"/>
  <c r="M22" i="1"/>
  <c r="L22" i="1"/>
  <c r="K22" i="1"/>
  <c r="J22" i="1"/>
  <c r="I22" i="1"/>
  <c r="H22" i="1"/>
  <c r="G22" i="1"/>
  <c r="F22" i="1"/>
  <c r="E22" i="1"/>
  <c r="D22" i="1"/>
  <c r="N16" i="1"/>
  <c r="M16" i="1"/>
  <c r="L16" i="1"/>
  <c r="K16" i="1"/>
  <c r="J16" i="1"/>
  <c r="I16" i="1"/>
  <c r="H16" i="1"/>
  <c r="G16" i="1"/>
  <c r="F16" i="1"/>
  <c r="E16" i="1"/>
  <c r="D16" i="1"/>
  <c r="N10" i="1"/>
  <c r="N7" i="1"/>
  <c r="M7" i="1"/>
  <c r="L7" i="1"/>
  <c r="K7" i="1"/>
  <c r="J7" i="1"/>
  <c r="I7" i="1"/>
  <c r="H7" i="1"/>
  <c r="G7" i="1"/>
  <c r="F7" i="1"/>
  <c r="E7" i="1"/>
  <c r="D7" i="1"/>
  <c r="D13" i="1" s="1"/>
  <c r="M3" i="1"/>
  <c r="L3" i="1"/>
  <c r="K3" i="1"/>
  <c r="J3" i="1"/>
  <c r="I3" i="1"/>
  <c r="H3" i="1"/>
  <c r="G3" i="1"/>
  <c r="F3" i="1"/>
  <c r="E3" i="1"/>
  <c r="D3" i="1"/>
  <c r="J60" i="1" l="1"/>
  <c r="F82" i="1"/>
  <c r="K13" i="1"/>
  <c r="K14" i="1" s="1"/>
  <c r="H54" i="1"/>
  <c r="L54" i="1"/>
  <c r="F8" i="1"/>
  <c r="D96" i="1"/>
  <c r="G54" i="1"/>
  <c r="G60" i="1"/>
  <c r="I26" i="1"/>
  <c r="D54" i="1"/>
  <c r="F54" i="1"/>
  <c r="D60" i="1"/>
  <c r="D67" i="1" s="1"/>
  <c r="F60" i="1"/>
  <c r="F65" i="1"/>
  <c r="I65" i="1"/>
  <c r="M60" i="1"/>
  <c r="M82" i="1"/>
  <c r="N13" i="1"/>
  <c r="N14" i="1" s="1"/>
  <c r="L11" i="1"/>
  <c r="J26" i="1"/>
  <c r="M54" i="1"/>
  <c r="E54" i="1"/>
  <c r="E60" i="1"/>
  <c r="E67" i="1" s="1"/>
  <c r="E65" i="1"/>
  <c r="F105" i="1"/>
  <c r="L96" i="1"/>
  <c r="G105" i="1"/>
  <c r="I11" i="1"/>
  <c r="J54" i="1"/>
  <c r="J82" i="1"/>
  <c r="H105" i="1"/>
  <c r="K54" i="1"/>
  <c r="E105" i="1"/>
  <c r="I54" i="1"/>
  <c r="G82" i="1"/>
  <c r="M105" i="1"/>
  <c r="I105" i="1"/>
  <c r="I107" i="1" s="1"/>
  <c r="E23" i="1"/>
  <c r="J105" i="1"/>
  <c r="D105" i="1"/>
  <c r="I82" i="1"/>
  <c r="K82" i="1"/>
  <c r="H82" i="1"/>
  <c r="H96" i="1"/>
  <c r="L26" i="1"/>
  <c r="H65" i="1"/>
  <c r="G96" i="1"/>
  <c r="D17" i="1"/>
  <c r="L17" i="1"/>
  <c r="H23" i="1"/>
  <c r="L65" i="1"/>
  <c r="M65" i="1"/>
  <c r="E96" i="1"/>
  <c r="D82" i="1"/>
  <c r="E82" i="1"/>
  <c r="J13" i="1"/>
  <c r="J19" i="1" s="1"/>
  <c r="F26" i="1"/>
  <c r="N26" i="1"/>
  <c r="D65" i="1"/>
  <c r="M96" i="1"/>
  <c r="F96" i="1"/>
  <c r="F107" i="1" s="1"/>
  <c r="D26" i="1"/>
  <c r="L105" i="1"/>
  <c r="K105" i="1"/>
  <c r="I96" i="1"/>
  <c r="K96" i="1"/>
  <c r="J96" i="1"/>
  <c r="L82" i="1"/>
  <c r="K65" i="1"/>
  <c r="J65" i="1"/>
  <c r="J67" i="1" s="1"/>
  <c r="J69" i="1" s="1"/>
  <c r="G65" i="1"/>
  <c r="L60" i="1"/>
  <c r="H60" i="1"/>
  <c r="I60" i="1"/>
  <c r="K60" i="1"/>
  <c r="M23" i="1"/>
  <c r="D23" i="1"/>
  <c r="L23" i="1"/>
  <c r="G23" i="1"/>
  <c r="J17" i="1"/>
  <c r="F23" i="1"/>
  <c r="N23" i="1"/>
  <c r="H13" i="1"/>
  <c r="H19" i="1" s="1"/>
  <c r="H28" i="1" s="1"/>
  <c r="H34" i="1" s="1"/>
  <c r="J23" i="1"/>
  <c r="L13" i="1"/>
  <c r="L19" i="1" s="1"/>
  <c r="H26" i="1"/>
  <c r="K19" i="1"/>
  <c r="K28" i="1" s="1"/>
  <c r="K34" i="1" s="1"/>
  <c r="N19" i="1"/>
  <c r="D19" i="1"/>
  <c r="D14" i="1"/>
  <c r="G13" i="1"/>
  <c r="I23" i="1"/>
  <c r="K26" i="1"/>
  <c r="F13" i="1"/>
  <c r="K23" i="1"/>
  <c r="E26" i="1"/>
  <c r="M26" i="1"/>
  <c r="M13" i="1"/>
  <c r="E13" i="1"/>
  <c r="I17" i="1"/>
  <c r="G26" i="1"/>
  <c r="I13" i="1"/>
  <c r="G11" i="1"/>
  <c r="J8" i="1"/>
  <c r="L8" i="1"/>
  <c r="E8" i="1"/>
  <c r="M8" i="1"/>
  <c r="D11" i="1"/>
  <c r="E11" i="1"/>
  <c r="M11" i="1"/>
  <c r="F11" i="1"/>
  <c r="N11" i="1"/>
  <c r="K17" i="1"/>
  <c r="N8" i="1"/>
  <c r="G8" i="1"/>
  <c r="M17" i="1"/>
  <c r="E17" i="1"/>
  <c r="H8" i="1"/>
  <c r="I8" i="1"/>
  <c r="F17" i="1"/>
  <c r="N17" i="1"/>
  <c r="G17" i="1"/>
  <c r="K11" i="1"/>
  <c r="H17" i="1"/>
  <c r="J11" i="1"/>
  <c r="K8" i="1"/>
  <c r="H11" i="1"/>
  <c r="H39" i="1" l="1"/>
  <c r="K39" i="1"/>
  <c r="D69" i="1"/>
  <c r="G67" i="1"/>
  <c r="G69" i="1" s="1"/>
  <c r="M67" i="1"/>
  <c r="M69" i="1" s="1"/>
  <c r="I67" i="1"/>
  <c r="I69" i="1" s="1"/>
  <c r="G107" i="1"/>
  <c r="J14" i="1"/>
  <c r="F67" i="1"/>
  <c r="F69" i="1" s="1"/>
  <c r="H107" i="1"/>
  <c r="E107" i="1"/>
  <c r="L67" i="1"/>
  <c r="L69" i="1" s="1"/>
  <c r="E69" i="1"/>
  <c r="M107" i="1"/>
  <c r="K107" i="1"/>
  <c r="D107" i="1"/>
  <c r="H67" i="1"/>
  <c r="H69" i="1" s="1"/>
  <c r="L107" i="1"/>
  <c r="J107" i="1"/>
  <c r="K20" i="1"/>
  <c r="K29" i="1"/>
  <c r="K67" i="1"/>
  <c r="K69" i="1" s="1"/>
  <c r="H14" i="1"/>
  <c r="L14" i="1"/>
  <c r="D20" i="1"/>
  <c r="D28" i="1"/>
  <c r="I14" i="1"/>
  <c r="I19" i="1"/>
  <c r="I28" i="1" s="1"/>
  <c r="I34" i="1" s="1"/>
  <c r="I39" i="1" s="1"/>
  <c r="I45" i="1" s="1"/>
  <c r="H32" i="1"/>
  <c r="L20" i="1"/>
  <c r="L28" i="1"/>
  <c r="L34" i="1" s="1"/>
  <c r="L39" i="1" s="1"/>
  <c r="H29" i="1"/>
  <c r="J20" i="1"/>
  <c r="J28" i="1"/>
  <c r="E19" i="1"/>
  <c r="E14" i="1"/>
  <c r="N28" i="1"/>
  <c r="N20" i="1"/>
  <c r="F14" i="1"/>
  <c r="F19" i="1"/>
  <c r="H20" i="1"/>
  <c r="M19" i="1"/>
  <c r="M14" i="1"/>
  <c r="G19" i="1"/>
  <c r="G14" i="1"/>
  <c r="K32" i="1"/>
  <c r="K35" i="1"/>
  <c r="H35" i="1"/>
  <c r="K43" i="1" l="1"/>
  <c r="K45" i="1"/>
  <c r="H43" i="1"/>
  <c r="H45" i="1"/>
  <c r="L40" i="1"/>
  <c r="L43" i="1"/>
  <c r="L45" i="1" s="1"/>
  <c r="G20" i="1"/>
  <c r="G28" i="1"/>
  <c r="F20" i="1"/>
  <c r="F28" i="1"/>
  <c r="L32" i="1"/>
  <c r="E20" i="1"/>
  <c r="E28" i="1"/>
  <c r="N34" i="1"/>
  <c r="N39" i="1" s="1"/>
  <c r="N29" i="1"/>
  <c r="N32" i="1"/>
  <c r="L29" i="1"/>
  <c r="I20" i="1"/>
  <c r="M20" i="1"/>
  <c r="M28" i="1"/>
  <c r="J34" i="1"/>
  <c r="J39" i="1" s="1"/>
  <c r="J32" i="1"/>
  <c r="J29" i="1"/>
  <c r="D34" i="1"/>
  <c r="D39" i="1" s="1"/>
  <c r="D29" i="1"/>
  <c r="D32" i="1"/>
  <c r="I40" i="1"/>
  <c r="I43" i="1"/>
  <c r="L35" i="1"/>
  <c r="I32" i="1"/>
  <c r="I29" i="1"/>
  <c r="D35" i="1" l="1"/>
  <c r="E34" i="1"/>
  <c r="E39" i="1" s="1"/>
  <c r="E29" i="1"/>
  <c r="E32" i="1"/>
  <c r="F34" i="1"/>
  <c r="F39" i="1" s="1"/>
  <c r="F29" i="1"/>
  <c r="F32" i="1"/>
  <c r="G34" i="1"/>
  <c r="G39" i="1" s="1"/>
  <c r="G32" i="1"/>
  <c r="G29" i="1"/>
  <c r="N35" i="1"/>
  <c r="J35" i="1"/>
  <c r="M34" i="1"/>
  <c r="M39" i="1" s="1"/>
  <c r="M29" i="1"/>
  <c r="M32" i="1"/>
  <c r="I35" i="1"/>
  <c r="M35" i="1" l="1"/>
  <c r="F35" i="1"/>
  <c r="N40" i="1"/>
  <c r="N43" i="1"/>
  <c r="J40" i="1"/>
  <c r="J43" i="1"/>
  <c r="J45" i="1" s="1"/>
  <c r="K40" i="1"/>
  <c r="E35" i="1"/>
  <c r="G35" i="1"/>
  <c r="D43" i="1"/>
  <c r="D45" i="1" s="1"/>
  <c r="F43" i="1" l="1"/>
  <c r="F45" i="1" s="1"/>
  <c r="F40" i="1"/>
  <c r="G40" i="1"/>
  <c r="G43" i="1"/>
  <c r="G45" i="1" s="1"/>
  <c r="H40" i="1"/>
  <c r="E40" i="1"/>
  <c r="E43" i="1"/>
  <c r="E45" i="1" s="1"/>
  <c r="M43" i="1"/>
  <c r="M45" i="1" s="1"/>
  <c r="M40" i="1"/>
  <c r="K73" i="5" l="1"/>
  <c r="J73" i="5"/>
  <c r="I73" i="5"/>
  <c r="H73" i="5"/>
  <c r="K51" i="5"/>
  <c r="J51" i="5"/>
  <c r="I51" i="5"/>
  <c r="H51" i="5"/>
  <c r="G51" i="5"/>
  <c r="F51" i="5"/>
  <c r="E51" i="5"/>
  <c r="D51" i="5"/>
  <c r="C51" i="5"/>
  <c r="B51" i="5"/>
  <c r="K34" i="5"/>
  <c r="J34" i="5"/>
  <c r="I34" i="5"/>
  <c r="H34" i="5"/>
  <c r="G34" i="5"/>
  <c r="F34" i="5"/>
  <c r="E34" i="5"/>
  <c r="D34" i="5"/>
  <c r="C34" i="5"/>
  <c r="B34" i="5"/>
  <c r="B15" i="5" s="1"/>
  <c r="J32" i="5"/>
  <c r="I32" i="5"/>
  <c r="H32" i="5"/>
  <c r="G32" i="5"/>
  <c r="F32" i="5"/>
  <c r="E32" i="5"/>
  <c r="D32" i="5"/>
  <c r="C32" i="5"/>
  <c r="B32" i="5"/>
  <c r="K15" i="5"/>
  <c r="B6" i="5"/>
  <c r="E1" i="5"/>
</calcChain>
</file>

<file path=xl/sharedStrings.xml><?xml version="1.0" encoding="utf-8"?>
<sst xmlns="http://schemas.openxmlformats.org/spreadsheetml/2006/main" count="183" uniqueCount="110">
  <si>
    <t>COMPANY NAME</t>
  </si>
  <si>
    <t>MAHINDRA &amp; MAHINDRA LTD</t>
  </si>
  <si>
    <t>LATEST VERSION</t>
  </si>
  <si>
    <t>PLEASE DO NOT MAKE ANY CHANGES TO THIS SHEET</t>
  </si>
  <si>
    <t>CURRENT VERSION</t>
  </si>
  <si>
    <t>META</t>
  </si>
  <si>
    <t>Number of shares</t>
  </si>
  <si>
    <t>Face Value</t>
  </si>
  <si>
    <t>Current Price</t>
  </si>
  <si>
    <t>Market Capitalization</t>
  </si>
  <si>
    <t>PROFIT &amp; LOSS</t>
  </si>
  <si>
    <t>Report Date</t>
  </si>
  <si>
    <t>Sales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</si>
  <si>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</si>
  <si>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</si>
  <si>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</si>
  <si>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</si>
  <si>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</si>
  <si>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</si>
  <si>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</si>
  <si>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Other Income</t>
  </si>
  <si>
    <t>Depreciation</t>
  </si>
  <si>
    <t>Interest</t>
  </si>
  <si>
    <t>Profit before tax</t>
  </si>
  <si>
    <t>Tax</t>
  </si>
  <si>
    <t>Net profit</t>
  </si>
  <si>
    <t>Dividend Amount</t>
  </si>
  <si>
    <t>Effective Tax Rate</t>
  </si>
  <si>
    <t>EBITDA</t>
  </si>
  <si>
    <t>Quarters</t>
  </si>
  <si>
    <t>Expenses</t>
  </si>
  <si>
    <t>Operating Profit</t>
  </si>
  <si>
    <t>BALANCE SHEET</t>
  </si>
  <si>
    <t>Equity Share Capital</t>
  </si>
  <si>
    <t>Reserves</t>
  </si>
  <si>
    <t>Borrowings</t>
  </si>
  <si>
    <t>Other Liabilities</t>
  </si>
  <si>
    <t>Total</t>
  </si>
  <si>
    <t>Net Block</t>
  </si>
  <si>
    <t>Capital Work in Progress</t>
  </si>
  <si>
    <t>Investments</t>
  </si>
  <si>
    <t>Other Assets</t>
  </si>
  <si>
    <t>Receivables</t>
  </si>
  <si>
    <t>Inventory</t>
  </si>
  <si>
    <t>Cash &amp; Bank</t>
  </si>
  <si>
    <t>No. of Equity Shares</t>
  </si>
  <si>
    <t>New Bonus Shares</t>
  </si>
  <si>
    <t>Face value</t>
  </si>
  <si>
    <t>CASH FLOW:</t>
  </si>
  <si>
    <t>Cash from Operating Activity</t>
  </si>
  <si>
    <t>Cash from Investing Activity</t>
  </si>
  <si>
    <t>Cash from Financing Activity</t>
  </si>
  <si>
    <t>Net Cash Flow</t>
  </si>
  <si>
    <t>PRICE:</t>
  </si>
  <si>
    <t>DERIVED:</t>
  </si>
  <si>
    <t>Adjusted Equity Shares in Cr</t>
  </si>
  <si>
    <t>YEARS</t>
  </si>
  <si>
    <t>LTM</t>
  </si>
  <si>
    <t>In Crores</t>
  </si>
  <si>
    <t>Sales Growth</t>
  </si>
  <si>
    <t>Cost of goods sold</t>
  </si>
  <si>
    <t>Selling &amp; General Expenses</t>
  </si>
  <si>
    <t>Gross profit</t>
  </si>
  <si>
    <t>% Sales</t>
  </si>
  <si>
    <t>Earnings before Tax</t>
  </si>
  <si>
    <t>Net Margin</t>
  </si>
  <si>
    <t>EBITDA Margins</t>
  </si>
  <si>
    <r>
      <t>Number of Equity Shares</t>
    </r>
    <r>
      <rPr>
        <sz val="9"/>
        <color theme="0" tint="-0.499984740745262"/>
        <rFont val="Cambria"/>
        <family val="1"/>
      </rPr>
      <t xml:space="preserve"> (in Cr)</t>
    </r>
  </si>
  <si>
    <t>Earnings Per Share</t>
  </si>
  <si>
    <t>EPS Growth</t>
  </si>
  <si>
    <t>Dividends per share</t>
  </si>
  <si>
    <t>Total Assets</t>
  </si>
  <si>
    <t>Total Liabilities</t>
  </si>
  <si>
    <t>Total Non-current Assets</t>
  </si>
  <si>
    <t>Total Current Assets</t>
  </si>
  <si>
    <t>Check</t>
  </si>
  <si>
    <t>Profit from operations</t>
  </si>
  <si>
    <t>Payables</t>
  </si>
  <si>
    <t>Loans Advances</t>
  </si>
  <si>
    <t>Other WC items</t>
  </si>
  <si>
    <t>Working capital changes</t>
  </si>
  <si>
    <t>Direct taxes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</si>
  <si>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</si>
  <si>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</si>
  <si>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</si>
  <si>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</si>
  <si>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</si>
  <si>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</si>
  <si>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Investment in group cos</t>
  </si>
  <si>
    <t>Issue of shares on acq</t>
  </si>
  <si>
    <t>Redemp n Canc of Shares</t>
  </si>
  <si>
    <t>Acquisition of companies</t>
  </si>
  <si>
    <t>Inter corporate deposits</t>
  </si>
  <si>
    <t>Other investing items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</si>
  <si>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</si>
  <si>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</si>
  <si>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</si>
  <si>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</si>
  <si>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</si>
  <si>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</si>
  <si>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</si>
  <si>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RAW CF DATA</t>
  </si>
  <si>
    <t xml:space="preserve">Cash from Operating Activity </t>
  </si>
  <si>
    <t xml:space="preserve">Cash from Investing Activity </t>
  </si>
  <si>
    <t xml:space="preserve">Cash from Financing Activity </t>
  </si>
  <si>
    <t>Proft &amp; Loss Statement</t>
  </si>
  <si>
    <t>Balance Sheet</t>
  </si>
  <si>
    <t>Cashflow Statement</t>
  </si>
  <si>
    <t>#</t>
  </si>
  <si>
    <t>Retained Earnings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</si>
</sst>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7" formatCode="&quot;₹&quot;#,##0.00_);\(&quot;₹&quot;#,##0.00\)"/>
    <numFmt numFmtId="43" formatCode="_(* #,##0.00_);_(* \(#,##0.00\);_(* &quot;-&quot;??_);_(@_)"/>
    <numFmt numFmtId="164" formatCode="_ * #,##0.00_ ;_ * \-#,##0.00_ ;_ * &quot;-&quot;??_ ;_ @_ "/>
    <numFmt numFmtId="165" formatCode="[$-409]mmm\-yy;@"/>
    <numFmt numFmtId="166" formatCode="&quot;₹&quot;0,000.0;\(&quot;₹&quot;0,000.0\);\-"/>
    <numFmt numFmtId="167" formatCode="0.0%"/>
    <numFmt numFmtId="168" formatCode="0.0%;\-;\-"/>
    <numFmt numFmtId="169" formatCode="0.0%;\-0.0%;\-"/>
    <numFmt numFmtId="170" formatCode="&quot;₹&quot;##,##0.0;\(&quot;₹&quot;#,##0.0\);\-"/>
  </numFmts>
  <fonts count="17" x14ac:knownFonts="1">
    <font>
      <sz val="11"/>
      <color theme="1"/>
      <name val="Cambria"/>
      <family val="2"/>
    </font>
    <font>
      <b/>
      <sz val="11"/>
      <color theme="1"/>
      <name val="Cambria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u/>
      <sz val="11"/>
      <color theme="10"/>
      <name val="calibri"/>
      <family val="2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sz val="11"/>
      <color theme="0"/>
      <name val="Aptos Narrow"/>
      <family val="2"/>
      <scheme val="minor"/>
    </font>
    <font>
      <b/>
      <sz val="10"/>
      <color theme="0"/>
      <name val="Arial"/>
      <family val="2"/>
    </font>
    <font>
      <sz val="10"/>
      <name val="Arial"/>
      <family val="2"/>
    </font>
    <font>
      <sz val="11"/>
      <color theme="1"/>
      <name val="Arial Narrow"/>
      <family val="2"/>
    </font>
    <font>
      <b/>
      <sz val="11"/>
      <color theme="0"/>
      <name val="Cambria"/>
      <family val="1"/>
    </font>
    <font>
      <b/>
      <sz val="11"/>
      <color theme="1"/>
      <name val="Cambria"/>
      <family val="1"/>
    </font>
    <font>
      <i/>
      <sz val="8"/>
      <color theme="0" tint="-0.14999847407452621"/>
      <name val="Cambria"/>
      <family val="1"/>
    </font>
    <font>
      <i/>
      <sz val="11"/>
      <color theme="0" tint="-0.499984740745262"/>
      <name val="Cambria"/>
      <family val="1"/>
    </font>
    <font>
      <i/>
      <sz val="10"/>
      <color theme="0" tint="-0.499984740745262"/>
      <name val="Cambria"/>
      <family val="1"/>
    </font>
    <font>
      <sz val="9"/>
      <color theme="0" tint="-0.499984740745262"/>
      <name val="Cambria"/>
      <family val="1"/>
    </font>
  </fonts>
  <fills count="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uble">
        <color rgb="FF002060"/>
      </top>
      <bottom style="thick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/>
      <top/>
      <bottom style="thick">
        <color auto="1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7" fillId="2" borderId="0" applyNumberFormat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0" fillId="0" borderId="0"/>
  </cellStyleXfs>
  <cellXfs count="62">
    <xf numFmtId="0" fontId="0" fillId="0" borderId="0" xfId="0"/>
    <xf numFmtId="164" fontId="3" fillId="0" borderId="0" xfId="1" applyFont="1" applyBorder="1"/>
    <xf numFmtId="164" fontId="6" fillId="0" borderId="0" xfId="1" applyFont="1" applyBorder="1"/>
    <xf numFmtId="0" fontId="6" fillId="0" borderId="0" xfId="4" applyFont="1"/>
    <xf numFmtId="165" fontId="8" fillId="3" borderId="0" xfId="1" applyNumberFormat="1" applyFont="1" applyFill="1" applyBorder="1"/>
    <xf numFmtId="165" fontId="8" fillId="3" borderId="0" xfId="4" applyNumberFormat="1" applyFont="1" applyFill="1" applyAlignment="1">
      <alignment horizontal="center"/>
    </xf>
    <xf numFmtId="165" fontId="9" fillId="0" borderId="0" xfId="1" applyNumberFormat="1" applyFont="1" applyFill="1" applyBorder="1"/>
    <xf numFmtId="0" fontId="2" fillId="0" borderId="0" xfId="4"/>
    <xf numFmtId="9" fontId="6" fillId="0" borderId="0" xfId="5" applyFont="1" applyBorder="1"/>
    <xf numFmtId="0" fontId="10" fillId="0" borderId="0" xfId="6"/>
    <xf numFmtId="43" fontId="6" fillId="0" borderId="0" xfId="1" applyNumberFormat="1" applyFont="1" applyBorder="1"/>
    <xf numFmtId="166" fontId="0" fillId="0" borderId="0" xfId="0" applyNumberFormat="1"/>
    <xf numFmtId="0" fontId="13" fillId="0" borderId="0" xfId="0" applyFont="1"/>
    <xf numFmtId="0" fontId="15" fillId="0" borderId="0" xfId="0" applyFont="1"/>
    <xf numFmtId="167" fontId="14" fillId="0" borderId="0" xfId="0" applyNumberFormat="1" applyFont="1"/>
    <xf numFmtId="0" fontId="12" fillId="6" borderId="0" xfId="0" applyFont="1" applyFill="1"/>
    <xf numFmtId="0" fontId="0" fillId="6" borderId="0" xfId="0" applyFill="1"/>
    <xf numFmtId="7" fontId="0" fillId="0" borderId="0" xfId="0" applyNumberFormat="1"/>
    <xf numFmtId="168" fontId="15" fillId="0" borderId="0" xfId="0" applyNumberFormat="1" applyFont="1"/>
    <xf numFmtId="169" fontId="15" fillId="0" borderId="0" xfId="0" applyNumberFormat="1" applyFont="1"/>
    <xf numFmtId="170" fontId="0" fillId="0" borderId="0" xfId="0" applyNumberFormat="1"/>
    <xf numFmtId="0" fontId="12" fillId="0" borderId="0" xfId="0" applyFont="1"/>
    <xf numFmtId="164" fontId="3" fillId="0" borderId="1" xfId="1" applyFont="1" applyBorder="1"/>
    <xf numFmtId="0" fontId="1" fillId="0" borderId="1" xfId="0" applyFont="1" applyBorder="1"/>
    <xf numFmtId="170" fontId="1" fillId="0" borderId="1" xfId="0" applyNumberFormat="1" applyFont="1" applyBorder="1"/>
    <xf numFmtId="164" fontId="3" fillId="0" borderId="2" xfId="1" applyFont="1" applyBorder="1"/>
    <xf numFmtId="0" fontId="0" fillId="0" borderId="2" xfId="0" applyBorder="1"/>
    <xf numFmtId="170" fontId="12" fillId="0" borderId="2" xfId="0" applyNumberFormat="1" applyFont="1" applyBorder="1"/>
    <xf numFmtId="164" fontId="3" fillId="0" borderId="2" xfId="1" applyFont="1" applyFill="1" applyBorder="1"/>
    <xf numFmtId="164" fontId="3" fillId="0" borderId="1" xfId="1" applyFont="1" applyFill="1" applyBorder="1"/>
    <xf numFmtId="0" fontId="0" fillId="0" borderId="1" xfId="0" applyBorder="1"/>
    <xf numFmtId="170" fontId="12" fillId="0" borderId="1" xfId="0" applyNumberFormat="1" applyFont="1" applyBorder="1"/>
    <xf numFmtId="0" fontId="12" fillId="0" borderId="3" xfId="0" applyFont="1" applyBorder="1"/>
    <xf numFmtId="0" fontId="0" fillId="0" borderId="3" xfId="0" applyBorder="1"/>
    <xf numFmtId="0" fontId="0" fillId="0" borderId="4" xfId="0" applyBorder="1"/>
    <xf numFmtId="167" fontId="14" fillId="0" borderId="4" xfId="0" applyNumberFormat="1" applyFont="1" applyBorder="1"/>
    <xf numFmtId="166" fontId="0" fillId="0" borderId="4" xfId="0" applyNumberFormat="1" applyBorder="1"/>
    <xf numFmtId="0" fontId="12" fillId="0" borderId="4" xfId="0" applyFont="1" applyBorder="1"/>
    <xf numFmtId="7" fontId="12" fillId="0" borderId="4" xfId="0" applyNumberFormat="1" applyFont="1" applyBorder="1"/>
    <xf numFmtId="168" fontId="15" fillId="0" borderId="5" xfId="0" applyNumberFormat="1" applyFont="1" applyBorder="1"/>
    <xf numFmtId="166" fontId="12" fillId="0" borderId="0" xfId="0" applyNumberFormat="1" applyFont="1"/>
    <xf numFmtId="17" fontId="11" fillId="5" borderId="0" xfId="0" applyNumberFormat="1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3" fontId="0" fillId="0" borderId="0" xfId="0" applyNumberFormat="1"/>
    <xf numFmtId="0" fontId="11" fillId="4" borderId="0" xfId="0" applyFont="1" applyFill="1"/>
    <xf numFmtId="17" fontId="11" fillId="4" borderId="0" xfId="0" applyNumberFormat="1" applyFont="1" applyFill="1"/>
    <xf numFmtId="3" fontId="12" fillId="0" borderId="0" xfId="0" applyNumberFormat="1" applyFont="1"/>
    <xf numFmtId="0" fontId="12" fillId="0" borderId="1" xfId="0" applyFont="1" applyBorder="1"/>
    <xf numFmtId="0" fontId="11" fillId="5" borderId="0" xfId="0" applyFont="1" applyFill="1" applyAlignment="1">
      <alignment horizontal="center"/>
    </xf>
    <xf numFmtId="0" fontId="11" fillId="5" borderId="0" xfId="0" applyFont="1" applyFill="1" applyAlignment="1">
      <alignment horizontal="left"/>
    </xf>
    <xf numFmtId="164" fontId="5" fillId="0" borderId="0" xfId="2" applyNumberFormat="1" applyFont="1" applyBorder="1" applyAlignment="1" applyProtection="1">
      <alignment horizontal="center"/>
    </xf>
    <xf numFmtId="164" fontId="8" fillId="2" borderId="0" xfId="3" applyNumberFormat="1" applyFont="1" applyBorder="1" applyAlignment="1">
      <alignment horizontal="center"/>
    </xf>
    <xf numFmtId="0" fontId="12" fillId="0" borderId="6" xfId="0" applyFont="1" applyBorder="1"/>
    <xf numFmtId="0" fontId="0" fillId="0" borderId="6" xfId="0" applyBorder="1"/>
    <xf numFmtId="170" fontId="12" fillId="0" borderId="6" xfId="0" applyNumberFormat="1" applyFont="1" applyBorder="1"/>
    <xf numFmtId="0" fontId="0" fillId="0" borderId="0" xfId="0" applyAlignment="1">
      <alignment horizontal="center"/>
    </xf>
    <xf numFmtId="168" fontId="15" fillId="0" borderId="0" xfId="0" applyNumberFormat="1" applyFont="1" applyBorder="1"/>
    <xf numFmtId="169" fontId="15" fillId="0" borderId="0" xfId="0" applyNumberFormat="1" applyFont="1" applyBorder="1"/>
    <xf numFmtId="168" fontId="15" fillId="0" borderId="7" xfId="0" applyNumberFormat="1" applyFont="1" applyBorder="1"/>
    <xf numFmtId="0" fontId="0" fillId="0" borderId="8" xfId="0" applyBorder="1"/>
    <xf numFmtId="168" fontId="15" fillId="0" borderId="8" xfId="0" applyNumberFormat="1" applyFont="1" applyBorder="1"/>
    <xf numFmtId="169" fontId="15" fillId="0" borderId="8" xfId="0" applyNumberFormat="1" applyFont="1" applyBorder="1"/>
  </cellXfs>
  <cellStyles count="7">
    <cellStyle name="Accent6 2" xfId="3" xr:uid="{E5406076-A56A-6D46-B6F4-85C587F3DAE1}"/>
    <cellStyle name="Comma 2" xfId="1" xr:uid="{C004E770-CDB1-6541-B8A0-4A80E55E1ED7}"/>
    <cellStyle name="Hyperlink 2" xfId="2" xr:uid="{B392E2A6-8890-7544-A2DD-A2FAAF424AE7}"/>
    <cellStyle name="Normal" xfId="0" builtinId="0"/>
    <cellStyle name="Normal 2" xfId="6" xr:uid="{12D8E986-456A-6842-96FD-7EF1A9E1E143}"/>
    <cellStyle name="Normal 3" xfId="4" xr:uid="{A541E390-A16D-634D-8CCA-C732453DC0C6}"/>
    <cellStyle name="Percent 3" xfId="5" xr:uid="{467E53D0-1338-1649-98A9-7D571F7C8D2C}"/>
  </cellStyles>
  <dxfs count="1">
    <dxf>
      <font>
        <b/>
        <i val="0"/>
        <color theme="0"/>
      </font>
      <fill>
        <patternFill>
          <bgColor theme="5"/>
        </patternFill>
      </fill>
    </dxf>
  </dxfs>
  <tableStyles count="0" defaultTableStyle="TableStyleMedium2" defaultPivotStyle="PivotStyleLight16"/>
  <colors>
    <mruColors>
      <color rgb="FF6C000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BFC92-A049-5244-B83B-BE2A6B6F8D46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5"/>
  </cols>
  <sheetData/>
  <mergeCells count="1">
    <mergeCell ref="A1:XFD104857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F2CC09-962D-7246-BC3D-64115679EB4C}">
  <sheetPr>
    <tabColor theme="3"/>
  </sheetPr>
  <dimension ref="A2:N108"/>
  <sheetViews>
    <sheetView showGridLines="0" tabSelected="1" zoomScale="140" zoomScaleNormal="140" workbookViewId="0">
      <pane xSplit="1" ySplit="3" topLeftCell="B17" activePane="bottomRight" state="frozen"/>
      <selection pane="topRight" activeCell="B1" sqref="B1"/>
      <selection pane="bottomLeft" activeCell="A4" sqref="A4"/>
      <selection pane="bottomRight" activeCell="H43" sqref="H43"/>
    </sheetView>
  </sheetViews>
  <sheetFormatPr baseColWidth="10" defaultRowHeight="14" outlineLevelRow="1" x14ac:dyDescent="0.15"/>
  <cols>
    <col min="1" max="1" width="2" customWidth="1"/>
    <col min="2" max="2" width="23.1640625" customWidth="1"/>
    <col min="4" max="4" width="12" customWidth="1"/>
  </cols>
  <sheetData>
    <row r="2" spans="1:14" x14ac:dyDescent="0.15">
      <c r="B2" s="49" t="s">
        <v>56</v>
      </c>
      <c r="C2" s="49"/>
      <c r="D2" s="48" t="str">
        <f>"Financials"&amp;" - "&amp;'Data Sheet'!B1</f>
        <v>Financials - MAHINDRA &amp; MAHINDRA LTD</v>
      </c>
      <c r="E2" s="48"/>
      <c r="F2" s="48"/>
      <c r="G2" s="48"/>
      <c r="H2" s="48"/>
      <c r="I2" s="48"/>
      <c r="J2" s="48"/>
      <c r="K2" s="48"/>
      <c r="L2" s="48"/>
      <c r="M2" s="48"/>
      <c r="N2" s="48"/>
    </row>
    <row r="3" spans="1:14" x14ac:dyDescent="0.15">
      <c r="B3" s="49"/>
      <c r="C3" s="49"/>
      <c r="D3" s="41">
        <f>IFERROR('Data Sheet'!B16,0)</f>
        <v>42460</v>
      </c>
      <c r="E3" s="41">
        <f>IFERROR('Data Sheet'!C16,0)</f>
        <v>42825</v>
      </c>
      <c r="F3" s="41">
        <f>IFERROR('Data Sheet'!D16,0)</f>
        <v>43190</v>
      </c>
      <c r="G3" s="41">
        <f>IFERROR('Data Sheet'!E16,0)</f>
        <v>43555</v>
      </c>
      <c r="H3" s="41">
        <f>IFERROR('Data Sheet'!F16,0)</f>
        <v>43921</v>
      </c>
      <c r="I3" s="41">
        <f>IFERROR('Data Sheet'!G16,0)</f>
        <v>44286</v>
      </c>
      <c r="J3" s="41">
        <f>IFERROR('Data Sheet'!H16,0)</f>
        <v>44651</v>
      </c>
      <c r="K3" s="41">
        <f>IFERROR('Data Sheet'!I16,0)</f>
        <v>45016</v>
      </c>
      <c r="L3" s="41">
        <f>IFERROR('Data Sheet'!J16,0)</f>
        <v>45382</v>
      </c>
      <c r="M3" s="41">
        <f>IFERROR('Data Sheet'!K16,0)</f>
        <v>45747</v>
      </c>
      <c r="N3" s="42" t="s">
        <v>57</v>
      </c>
    </row>
    <row r="5" spans="1:14" x14ac:dyDescent="0.15">
      <c r="A5" t="s">
        <v>108</v>
      </c>
      <c r="B5" s="15" t="s">
        <v>105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</row>
    <row r="6" spans="1:14" outlineLevel="1" x14ac:dyDescent="0.15">
      <c r="B6" s="12" t="s">
        <v>58</v>
      </c>
    </row>
    <row r="7" spans="1:14" outlineLevel="1" x14ac:dyDescent="0.15">
      <c r="B7" s="21" t="s">
        <v>12</v>
      </c>
      <c r="C7" s="21"/>
      <c r="D7" s="40">
        <f>IFERROR('Data Sheet'!B17,0)</f>
        <v>75841.42</v>
      </c>
      <c r="E7" s="40">
        <f>IFERROR('Data Sheet'!C17,0)</f>
        <v>83773.05</v>
      </c>
      <c r="F7" s="40">
        <f>IFERROR('Data Sheet'!D17,0)</f>
        <v>92093.95</v>
      </c>
      <c r="G7" s="40">
        <f>IFERROR('Data Sheet'!E17,0)</f>
        <v>104720.68</v>
      </c>
      <c r="H7" s="40">
        <f>IFERROR('Data Sheet'!F17,0)</f>
        <v>75381.929999999993</v>
      </c>
      <c r="I7" s="40">
        <f>IFERROR('Data Sheet'!G17,0)</f>
        <v>74277.78</v>
      </c>
      <c r="J7" s="40">
        <f>IFERROR('Data Sheet'!H17,0)</f>
        <v>90170.57</v>
      </c>
      <c r="K7" s="40">
        <f>IFERROR('Data Sheet'!I17,0)</f>
        <v>121268.55</v>
      </c>
      <c r="L7" s="40">
        <f>IFERROR('Data Sheet'!J17,0)</f>
        <v>139078.26999999999</v>
      </c>
      <c r="M7" s="40">
        <f>IFERROR('Data Sheet'!K17,0)</f>
        <v>159210.82</v>
      </c>
      <c r="N7" s="40">
        <f>IFERROR(SUM('Data Sheet'!H42:K42),0)</f>
        <v>175704.22</v>
      </c>
    </row>
    <row r="8" spans="1:14" outlineLevel="1" x14ac:dyDescent="0.15">
      <c r="B8" s="13" t="s">
        <v>59</v>
      </c>
      <c r="D8" s="19"/>
      <c r="E8" s="19">
        <f>E7/D7-1</f>
        <v>0.10458177075271013</v>
      </c>
      <c r="F8" s="19">
        <f t="shared" ref="F8:K8" si="0">F7/E7-1</f>
        <v>9.9326692772914393E-2</v>
      </c>
      <c r="G8" s="19">
        <f t="shared" si="0"/>
        <v>0.13710705209191265</v>
      </c>
      <c r="H8" s="19">
        <f t="shared" si="0"/>
        <v>-0.28016195082002904</v>
      </c>
      <c r="I8" s="19">
        <f t="shared" si="0"/>
        <v>-1.4647409531700739E-2</v>
      </c>
      <c r="J8" s="19">
        <f t="shared" si="0"/>
        <v>0.21396425687466714</v>
      </c>
      <c r="K8" s="19">
        <f t="shared" si="0"/>
        <v>0.3448794878417647</v>
      </c>
      <c r="L8" s="19">
        <f>L7/K7-1</f>
        <v>0.14686182031532491</v>
      </c>
      <c r="M8" s="19">
        <f t="shared" ref="M8" si="1">M7/L7-1</f>
        <v>0.14475697749188288</v>
      </c>
      <c r="N8" s="19">
        <f t="shared" ref="N8" si="2">N7/M7-1</f>
        <v>0.10359471799718123</v>
      </c>
    </row>
    <row r="9" spans="1:14" ht="5" customHeight="1" outlineLevel="1" x14ac:dyDescent="0.15"/>
    <row r="10" spans="1:14" outlineLevel="1" x14ac:dyDescent="0.15">
      <c r="B10" t="s">
        <v>60</v>
      </c>
      <c r="D10" s="11">
        <f>IFERROR(SUM('Data Sheet'!B18,'Data Sheet'!B20:B22)-1*'Data Sheet'!B19,0)</f>
        <v>56073.909999999996</v>
      </c>
      <c r="E10" s="11">
        <f>IFERROR(SUM('Data Sheet'!C18,'Data Sheet'!C20:C22)-1*'Data Sheet'!C19,0)</f>
        <v>63464.359999999993</v>
      </c>
      <c r="F10" s="11">
        <f>IFERROR(SUM('Data Sheet'!D18,'Data Sheet'!D20:D22)-1*'Data Sheet'!D19,0)</f>
        <v>67869.400000000009</v>
      </c>
      <c r="G10" s="11">
        <f>IFERROR(SUM('Data Sheet'!E18,'Data Sheet'!E20:E22)-1*'Data Sheet'!E19,0)</f>
        <v>76462.900000000009</v>
      </c>
      <c r="H10" s="11">
        <f>IFERROR(SUM('Data Sheet'!F18,'Data Sheet'!F20:F22)-1*'Data Sheet'!F19,0)</f>
        <v>50445.450000000004</v>
      </c>
      <c r="I10" s="11">
        <f>IFERROR(SUM('Data Sheet'!G18,'Data Sheet'!G20:G22)-1*'Data Sheet'!G19,0)</f>
        <v>49173.009999999995</v>
      </c>
      <c r="J10" s="11">
        <f>IFERROR(SUM('Data Sheet'!H18,'Data Sheet'!H20:H22)-1*'Data Sheet'!H19,0)</f>
        <v>63855.469999999987</v>
      </c>
      <c r="K10" s="11">
        <f>IFERROR(SUM('Data Sheet'!I18,'Data Sheet'!I20:I22)-1*'Data Sheet'!I19,0)</f>
        <v>88334.409999999989</v>
      </c>
      <c r="L10" s="11">
        <f>IFERROR(SUM('Data Sheet'!J18,'Data Sheet'!J20:J22)-1*'Data Sheet'!J19,0)</f>
        <v>98783.56</v>
      </c>
      <c r="M10" s="11">
        <f>IFERROR(SUM('Data Sheet'!K18,'Data Sheet'!K20:K22)-1*'Data Sheet'!K19,0)</f>
        <v>111863.52</v>
      </c>
      <c r="N10" s="11">
        <f>IFERROR(SUM('Data Sheet'!H43:K43),0)</f>
        <v>142405.66</v>
      </c>
    </row>
    <row r="11" spans="1:14" outlineLevel="1" x14ac:dyDescent="0.15">
      <c r="B11" s="18" t="s">
        <v>63</v>
      </c>
      <c r="C11" s="18"/>
      <c r="D11" s="19">
        <f>D10/D7</f>
        <v>0.73935733270816917</v>
      </c>
      <c r="E11" s="19">
        <f t="shared" ref="E11:N11" si="3">E10/E7</f>
        <v>0.75757490028117624</v>
      </c>
      <c r="F11" s="19">
        <f t="shared" si="3"/>
        <v>0.73695829096265297</v>
      </c>
      <c r="G11" s="19">
        <f t="shared" si="3"/>
        <v>0.73016046114291866</v>
      </c>
      <c r="H11" s="19">
        <f t="shared" si="3"/>
        <v>0.66919817521254776</v>
      </c>
      <c r="I11" s="19">
        <f t="shared" si="3"/>
        <v>0.66201507368690871</v>
      </c>
      <c r="J11" s="19">
        <f t="shared" si="3"/>
        <v>0.70816309578613046</v>
      </c>
      <c r="K11" s="19">
        <f t="shared" si="3"/>
        <v>0.72841977577863337</v>
      </c>
      <c r="L11" s="19">
        <f t="shared" si="3"/>
        <v>0.71027314331706892</v>
      </c>
      <c r="M11" s="19">
        <f t="shared" si="3"/>
        <v>0.70261254856924926</v>
      </c>
      <c r="N11" s="19">
        <f t="shared" si="3"/>
        <v>0.81048514372620084</v>
      </c>
    </row>
    <row r="12" spans="1:14" ht="5" customHeight="1" outlineLevel="1" x14ac:dyDescent="0.15">
      <c r="B12" s="14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</row>
    <row r="13" spans="1:14" outlineLevel="1" x14ac:dyDescent="0.15">
      <c r="B13" s="34" t="s">
        <v>62</v>
      </c>
      <c r="C13" s="35"/>
      <c r="D13" s="36">
        <f>IFERROR((D7-D10),0)</f>
        <v>19767.510000000002</v>
      </c>
      <c r="E13" s="36">
        <f>IFERROR((E7-E10),0)</f>
        <v>20308.69000000001</v>
      </c>
      <c r="F13" s="36">
        <f t="shared" ref="F13:J13" si="4">IFERROR((F7-F10),0)</f>
        <v>24224.549999999988</v>
      </c>
      <c r="G13" s="36">
        <f t="shared" si="4"/>
        <v>28257.779999999984</v>
      </c>
      <c r="H13" s="36">
        <f t="shared" si="4"/>
        <v>24936.479999999989</v>
      </c>
      <c r="I13" s="36">
        <f t="shared" si="4"/>
        <v>25104.770000000004</v>
      </c>
      <c r="J13" s="36">
        <f t="shared" si="4"/>
        <v>26315.10000000002</v>
      </c>
      <c r="K13" s="36">
        <f>IFERROR((K7-K10),0)</f>
        <v>32934.140000000014</v>
      </c>
      <c r="L13" s="36">
        <f>IFERROR((L7-L10),0)</f>
        <v>40294.709999999992</v>
      </c>
      <c r="M13" s="36">
        <f t="shared" ref="M13:N13" si="5">IFERROR((M7-M10),0)</f>
        <v>47347.3</v>
      </c>
      <c r="N13" s="36">
        <f t="shared" si="5"/>
        <v>33298.559999999998</v>
      </c>
    </row>
    <row r="14" spans="1:14" outlineLevel="1" x14ac:dyDescent="0.15">
      <c r="B14" s="18" t="s">
        <v>63</v>
      </c>
      <c r="C14" s="18"/>
      <c r="D14" s="18">
        <f>D13/D7</f>
        <v>0.26064266729183078</v>
      </c>
      <c r="E14" s="18">
        <f t="shared" ref="E14:N14" si="6">E13/E7</f>
        <v>0.24242509971882376</v>
      </c>
      <c r="F14" s="18">
        <f t="shared" si="6"/>
        <v>0.26304170903734708</v>
      </c>
      <c r="G14" s="18">
        <f t="shared" si="6"/>
        <v>0.2698395388570814</v>
      </c>
      <c r="H14" s="18">
        <f t="shared" si="6"/>
        <v>0.33080182478745224</v>
      </c>
      <c r="I14" s="18">
        <f t="shared" si="6"/>
        <v>0.33798492631309129</v>
      </c>
      <c r="J14" s="18">
        <f t="shared" si="6"/>
        <v>0.29183690421386954</v>
      </c>
      <c r="K14" s="18">
        <f t="shared" si="6"/>
        <v>0.27158022422136663</v>
      </c>
      <c r="L14" s="18">
        <f t="shared" si="6"/>
        <v>0.28972685668293108</v>
      </c>
      <c r="M14" s="18">
        <f t="shared" si="6"/>
        <v>0.29738745143075074</v>
      </c>
      <c r="N14" s="18">
        <f t="shared" si="6"/>
        <v>0.18951485627379921</v>
      </c>
    </row>
    <row r="15" spans="1:14" ht="5" customHeight="1" outlineLevel="1" x14ac:dyDescent="0.15"/>
    <row r="16" spans="1:14" outlineLevel="1" x14ac:dyDescent="0.15">
      <c r="B16" t="s">
        <v>61</v>
      </c>
      <c r="D16" s="11">
        <f>IFERROR(SUM('Data Sheet'!B23:B24),0)</f>
        <v>9685.07</v>
      </c>
      <c r="E16" s="11">
        <f>IFERROR(SUM('Data Sheet'!C23:C24),0)</f>
        <v>9573.86</v>
      </c>
      <c r="F16" s="11">
        <f>IFERROR(SUM('Data Sheet'!D23:D24),0)</f>
        <v>10998.45</v>
      </c>
      <c r="G16" s="11">
        <f>IFERROR(SUM('Data Sheet'!E23:E24),0)</f>
        <v>13051.27</v>
      </c>
      <c r="H16" s="11">
        <f>IFERROR(SUM('Data Sheet'!F23:F24),0)</f>
        <v>14778.73</v>
      </c>
      <c r="I16" s="11">
        <f>IFERROR(SUM('Data Sheet'!G23:G24),0)</f>
        <v>13617.75</v>
      </c>
      <c r="J16" s="11">
        <f>IFERROR(SUM('Data Sheet'!H23:H24),0)</f>
        <v>11632.25</v>
      </c>
      <c r="K16" s="11">
        <f>IFERROR(SUM('Data Sheet'!I23:I24),0)</f>
        <v>12648.849999999999</v>
      </c>
      <c r="L16" s="11">
        <f>IFERROR(SUM('Data Sheet'!J23:J24),0)</f>
        <v>15402.78</v>
      </c>
      <c r="M16" s="11">
        <f>IFERROR(SUM('Data Sheet'!K23:K24),0)</f>
        <v>16829.11</v>
      </c>
      <c r="N16" s="11">
        <f>IFERROR(SUM('Data Sheet'!L23:L24),0)</f>
        <v>0</v>
      </c>
    </row>
    <row r="17" spans="2:14" outlineLevel="1" x14ac:dyDescent="0.15">
      <c r="B17" s="18" t="s">
        <v>63</v>
      </c>
      <c r="C17" s="18"/>
      <c r="D17" s="18">
        <f>D16/D7</f>
        <v>0.12770159103033671</v>
      </c>
      <c r="E17" s="18">
        <f t="shared" ref="E17:N17" si="7">E16/E7</f>
        <v>0.11428329277733114</v>
      </c>
      <c r="F17" s="18">
        <f t="shared" si="7"/>
        <v>0.11942641183269911</v>
      </c>
      <c r="G17" s="18">
        <f t="shared" si="7"/>
        <v>0.12462934732662165</v>
      </c>
      <c r="H17" s="18">
        <f t="shared" si="7"/>
        <v>0.19605136138063858</v>
      </c>
      <c r="I17" s="18">
        <f t="shared" si="7"/>
        <v>0.18333544702062987</v>
      </c>
      <c r="J17" s="18">
        <f t="shared" si="7"/>
        <v>0.12900273337520213</v>
      </c>
      <c r="K17" s="18">
        <f t="shared" si="7"/>
        <v>0.10430445486484334</v>
      </c>
      <c r="L17" s="18">
        <f t="shared" si="7"/>
        <v>0.11074900485891867</v>
      </c>
      <c r="M17" s="18">
        <f t="shared" si="7"/>
        <v>0.10570330584315815</v>
      </c>
      <c r="N17" s="18">
        <f t="shared" si="7"/>
        <v>0</v>
      </c>
    </row>
    <row r="18" spans="2:14" ht="5" customHeight="1" outlineLevel="1" x14ac:dyDescent="0.15"/>
    <row r="19" spans="2:14" outlineLevel="1" x14ac:dyDescent="0.15">
      <c r="B19" s="37" t="s">
        <v>28</v>
      </c>
      <c r="C19" s="37"/>
      <c r="D19" s="38">
        <f>IFERROR((D13-D16),0)</f>
        <v>10082.440000000002</v>
      </c>
      <c r="E19" s="38">
        <f t="shared" ref="E19:M19" si="8">IFERROR((E13-E16),0)</f>
        <v>10734.830000000009</v>
      </c>
      <c r="F19" s="38">
        <f t="shared" si="8"/>
        <v>13226.099999999988</v>
      </c>
      <c r="G19" s="38">
        <f t="shared" si="8"/>
        <v>15206.509999999984</v>
      </c>
      <c r="H19" s="38">
        <f t="shared" si="8"/>
        <v>10157.749999999989</v>
      </c>
      <c r="I19" s="38">
        <f t="shared" si="8"/>
        <v>11487.020000000004</v>
      </c>
      <c r="J19" s="38">
        <f t="shared" si="8"/>
        <v>14682.85000000002</v>
      </c>
      <c r="K19" s="38">
        <f t="shared" si="8"/>
        <v>20285.290000000015</v>
      </c>
      <c r="L19" s="38">
        <f t="shared" si="8"/>
        <v>24891.929999999993</v>
      </c>
      <c r="M19" s="38">
        <f t="shared" si="8"/>
        <v>30518.190000000002</v>
      </c>
      <c r="N19" s="38">
        <f>IFERROR((N13-N16),0)</f>
        <v>33298.559999999998</v>
      </c>
    </row>
    <row r="20" spans="2:14" outlineLevel="1" x14ac:dyDescent="0.15">
      <c r="B20" s="18" t="s">
        <v>66</v>
      </c>
      <c r="C20" s="18"/>
      <c r="D20" s="18">
        <f>D19/D7</f>
        <v>0.1329410762614941</v>
      </c>
      <c r="E20" s="18">
        <f t="shared" ref="E20:N20" si="9">E19/E7</f>
        <v>0.12814180694149263</v>
      </c>
      <c r="F20" s="18">
        <f t="shared" si="9"/>
        <v>0.14361529720464794</v>
      </c>
      <c r="G20" s="18">
        <f t="shared" si="9"/>
        <v>0.14521019153045975</v>
      </c>
      <c r="H20" s="18">
        <f t="shared" si="9"/>
        <v>0.13475046340681368</v>
      </c>
      <c r="I20" s="18">
        <f t="shared" si="9"/>
        <v>0.15464947929246142</v>
      </c>
      <c r="J20" s="18">
        <f t="shared" si="9"/>
        <v>0.16283417083866741</v>
      </c>
      <c r="K20" s="18">
        <f t="shared" si="9"/>
        <v>0.1672757693565233</v>
      </c>
      <c r="L20" s="18">
        <f t="shared" si="9"/>
        <v>0.17897785182401243</v>
      </c>
      <c r="M20" s="18">
        <f t="shared" si="9"/>
        <v>0.19168414558759261</v>
      </c>
      <c r="N20" s="18">
        <f t="shared" si="9"/>
        <v>0.18951485627379921</v>
      </c>
    </row>
    <row r="21" spans="2:14" ht="5" customHeight="1" outlineLevel="1" x14ac:dyDescent="0.15"/>
    <row r="22" spans="2:14" outlineLevel="1" x14ac:dyDescent="0.15">
      <c r="B22" t="s">
        <v>22</v>
      </c>
      <c r="D22" s="17">
        <f>IFERROR('Data Sheet'!B27,0)</f>
        <v>3367.59</v>
      </c>
      <c r="E22" s="17">
        <f>IFERROR('Data Sheet'!C27,0)</f>
        <v>3648.46</v>
      </c>
      <c r="F22" s="17">
        <f>IFERROR('Data Sheet'!D27,0)</f>
        <v>3987.09</v>
      </c>
      <c r="G22" s="17">
        <f>IFERROR('Data Sheet'!E27,0)</f>
        <v>5021.3500000000004</v>
      </c>
      <c r="H22" s="17">
        <f>IFERROR('Data Sheet'!F27,0)</f>
        <v>6021.15</v>
      </c>
      <c r="I22" s="17">
        <f>IFERROR('Data Sheet'!G27,0)</f>
        <v>6102.22</v>
      </c>
      <c r="J22" s="17">
        <f>IFERROR('Data Sheet'!H27,0)</f>
        <v>5018.05</v>
      </c>
      <c r="K22" s="17">
        <f>IFERROR('Data Sheet'!I27,0)</f>
        <v>5829.7</v>
      </c>
      <c r="L22" s="17">
        <f>IFERROR('Data Sheet'!J27,0)</f>
        <v>7488.21</v>
      </c>
      <c r="M22" s="17">
        <f>IFERROR('Data Sheet'!K27,0)</f>
        <v>9083.39</v>
      </c>
      <c r="N22" s="17">
        <f>IFERROR(SUM('Data Sheet'!H46:K46),0)</f>
        <v>9536.9000000000015</v>
      </c>
    </row>
    <row r="23" spans="2:14" outlineLevel="1" x14ac:dyDescent="0.15">
      <c r="B23" s="18" t="s">
        <v>63</v>
      </c>
      <c r="C23" s="18"/>
      <c r="D23" s="18">
        <f>D22/D7</f>
        <v>4.4403045196147441E-2</v>
      </c>
      <c r="E23" s="18">
        <f t="shared" ref="E23:N23" si="10">E22/E7</f>
        <v>4.3551715020522706E-2</v>
      </c>
      <c r="F23" s="18">
        <f t="shared" si="10"/>
        <v>4.3293723420485278E-2</v>
      </c>
      <c r="G23" s="18">
        <f t="shared" si="10"/>
        <v>4.7949936917903904E-2</v>
      </c>
      <c r="H23" s="18">
        <f t="shared" si="10"/>
        <v>7.9875243310963254E-2</v>
      </c>
      <c r="I23" s="18">
        <f t="shared" si="10"/>
        <v>8.2154043914613506E-2</v>
      </c>
      <c r="J23" s="18">
        <f t="shared" si="10"/>
        <v>5.5650640780023901E-2</v>
      </c>
      <c r="K23" s="18">
        <f t="shared" si="10"/>
        <v>4.8072645380851008E-2</v>
      </c>
      <c r="L23" s="18">
        <f t="shared" si="10"/>
        <v>5.3841696477817856E-2</v>
      </c>
      <c r="M23" s="18">
        <f t="shared" si="10"/>
        <v>5.7052592279846298E-2</v>
      </c>
      <c r="N23" s="18">
        <f t="shared" si="10"/>
        <v>5.4278149949955674E-2</v>
      </c>
    </row>
    <row r="24" spans="2:14" ht="5" customHeight="1" outlineLevel="1" x14ac:dyDescent="0.15"/>
    <row r="25" spans="2:14" outlineLevel="1" x14ac:dyDescent="0.15">
      <c r="B25" t="s">
        <v>21</v>
      </c>
      <c r="D25" s="17">
        <f>IFERROR('Data Sheet'!B26,0)</f>
        <v>2441.65</v>
      </c>
      <c r="E25" s="17">
        <f>IFERROR('Data Sheet'!C26,0)</f>
        <v>2812.72</v>
      </c>
      <c r="F25" s="17">
        <f>IFERROR('Data Sheet'!D26,0)</f>
        <v>3279.9</v>
      </c>
      <c r="G25" s="17">
        <f>IFERROR('Data Sheet'!E26,0)</f>
        <v>3990.77</v>
      </c>
      <c r="H25" s="17">
        <f>IFERROR('Data Sheet'!F26,0)</f>
        <v>3366.68</v>
      </c>
      <c r="I25" s="17">
        <f>IFERROR('Data Sheet'!G26,0)</f>
        <v>3378.11</v>
      </c>
      <c r="J25" s="17">
        <f>IFERROR('Data Sheet'!H26,0)</f>
        <v>3507.5</v>
      </c>
      <c r="K25" s="17">
        <f>IFERROR('Data Sheet'!I26,0)</f>
        <v>4356.8100000000004</v>
      </c>
      <c r="L25" s="17">
        <f>IFERROR('Data Sheet'!J26,0)</f>
        <v>4723.78</v>
      </c>
      <c r="M25" s="17">
        <f>IFERROR('Data Sheet'!K26,0)</f>
        <v>6073.65</v>
      </c>
      <c r="N25" s="17">
        <f>IFERROR(SUM('Data Sheet'!H45:K45),0)</f>
        <v>6740.3400000000011</v>
      </c>
    </row>
    <row r="26" spans="2:14" outlineLevel="1" x14ac:dyDescent="0.15">
      <c r="B26" s="18" t="s">
        <v>63</v>
      </c>
      <c r="C26" s="18"/>
      <c r="D26" s="18">
        <f>D25/D7</f>
        <v>3.2194149318406751E-2</v>
      </c>
      <c r="E26" s="18">
        <f t="shared" ref="E26:N26" si="11">E25/E7</f>
        <v>3.3575475645210476E-2</v>
      </c>
      <c r="F26" s="18">
        <f t="shared" si="11"/>
        <v>3.5614717361998269E-2</v>
      </c>
      <c r="G26" s="18">
        <f t="shared" si="11"/>
        <v>3.8108709760097052E-2</v>
      </c>
      <c r="H26" s="18">
        <f t="shared" si="11"/>
        <v>4.4661631773025713E-2</v>
      </c>
      <c r="I26" s="18">
        <f t="shared" si="11"/>
        <v>4.5479415243697377E-2</v>
      </c>
      <c r="J26" s="18">
        <f t="shared" si="11"/>
        <v>3.8898500918869643E-2</v>
      </c>
      <c r="K26" s="18">
        <f t="shared" si="11"/>
        <v>3.5926957154183835E-2</v>
      </c>
      <c r="L26" s="18">
        <f t="shared" si="11"/>
        <v>3.3964903359813149E-2</v>
      </c>
      <c r="M26" s="18">
        <f t="shared" si="11"/>
        <v>3.8148475084796366E-2</v>
      </c>
      <c r="N26" s="18">
        <f t="shared" si="11"/>
        <v>3.8361856078357147E-2</v>
      </c>
    </row>
    <row r="27" spans="2:14" ht="5" customHeight="1" outlineLevel="1" x14ac:dyDescent="0.15"/>
    <row r="28" spans="2:14" outlineLevel="1" x14ac:dyDescent="0.15">
      <c r="B28" s="37" t="s">
        <v>64</v>
      </c>
      <c r="C28" s="37"/>
      <c r="D28" s="38">
        <f>IFERROR((D19-(D22+D25)),0)</f>
        <v>4273.2000000000025</v>
      </c>
      <c r="E28" s="38">
        <f t="shared" ref="E28:M28" si="12">IFERROR((E19-(E22+E25)),0)</f>
        <v>4273.6500000000087</v>
      </c>
      <c r="F28" s="38">
        <f t="shared" si="12"/>
        <v>5959.1099999999878</v>
      </c>
      <c r="G28" s="38">
        <f t="shared" si="12"/>
        <v>6194.389999999983</v>
      </c>
      <c r="H28" s="38">
        <f t="shared" si="12"/>
        <v>769.91999999998916</v>
      </c>
      <c r="I28" s="38">
        <f t="shared" si="12"/>
        <v>2006.6900000000041</v>
      </c>
      <c r="J28" s="38">
        <f t="shared" si="12"/>
        <v>6157.3000000000211</v>
      </c>
      <c r="K28" s="38">
        <f t="shared" si="12"/>
        <v>10098.780000000015</v>
      </c>
      <c r="L28" s="38">
        <f t="shared" si="12"/>
        <v>12679.939999999993</v>
      </c>
      <c r="M28" s="38">
        <f t="shared" si="12"/>
        <v>15361.150000000003</v>
      </c>
      <c r="N28" s="38">
        <f>IFERROR((N19-(N22+N25)),0)</f>
        <v>17021.319999999996</v>
      </c>
    </row>
    <row r="29" spans="2:14" outlineLevel="1" x14ac:dyDescent="0.15">
      <c r="B29" s="18" t="s">
        <v>63</v>
      </c>
      <c r="C29" s="18"/>
      <c r="D29" s="18">
        <f>D28/D7</f>
        <v>5.6343881746939897E-2</v>
      </c>
      <c r="E29" s="18">
        <f t="shared" ref="E29:N29" si="13">E28/E7</f>
        <v>5.1014616275759428E-2</v>
      </c>
      <c r="F29" s="18">
        <f t="shared" si="13"/>
        <v>6.4706856422164408E-2</v>
      </c>
      <c r="G29" s="18">
        <f t="shared" si="13"/>
        <v>5.9151544852458784E-2</v>
      </c>
      <c r="H29" s="18">
        <f t="shared" si="13"/>
        <v>1.0213588322824704E-2</v>
      </c>
      <c r="I29" s="18">
        <f t="shared" si="13"/>
        <v>2.701602013415054E-2</v>
      </c>
      <c r="J29" s="18">
        <f t="shared" si="13"/>
        <v>6.8285029139773884E-2</v>
      </c>
      <c r="K29" s="18">
        <f t="shared" si="13"/>
        <v>8.3276166821488459E-2</v>
      </c>
      <c r="L29" s="18">
        <f t="shared" si="13"/>
        <v>9.1171251986381444E-2</v>
      </c>
      <c r="M29" s="18">
        <f t="shared" si="13"/>
        <v>9.6483078222949936E-2</v>
      </c>
      <c r="N29" s="18">
        <f t="shared" si="13"/>
        <v>9.6874850245486394E-2</v>
      </c>
    </row>
    <row r="30" spans="2:14" ht="5" customHeight="1" outlineLevel="1" x14ac:dyDescent="0.15"/>
    <row r="31" spans="2:14" outlineLevel="1" x14ac:dyDescent="0.15">
      <c r="B31" t="s">
        <v>24</v>
      </c>
      <c r="D31" s="17">
        <f>IFERROR('Data Sheet'!B29,0)</f>
        <v>2117.5300000000002</v>
      </c>
      <c r="E31" s="17">
        <f>IFERROR('Data Sheet'!C29,0)</f>
        <v>2299.73</v>
      </c>
      <c r="F31" s="17">
        <f>IFERROR('Data Sheet'!D29,0)</f>
        <v>2367.73</v>
      </c>
      <c r="G31" s="17">
        <f>IFERROR('Data Sheet'!E29,0)</f>
        <v>2853.99</v>
      </c>
      <c r="H31" s="17">
        <f>IFERROR('Data Sheet'!F29,0)</f>
        <v>1975.61</v>
      </c>
      <c r="I31" s="17">
        <f>IFERROR('Data Sheet'!G29,0)</f>
        <v>1645.81</v>
      </c>
      <c r="J31" s="17">
        <f>IFERROR('Data Sheet'!H29,0)</f>
        <v>2108.7600000000002</v>
      </c>
      <c r="K31" s="17">
        <f>IFERROR('Data Sheet'!I29,0)</f>
        <v>2685.75</v>
      </c>
      <c r="L31" s="17">
        <f>IFERROR('Data Sheet'!J29,0)</f>
        <v>3707.97</v>
      </c>
      <c r="M31" s="17">
        <f>IFERROR('Data Sheet'!K29,0)</f>
        <v>5006.45</v>
      </c>
      <c r="N31" s="17">
        <f>IFERROR(SUM('Data Sheet'!H48:K48),0)</f>
        <v>5914.17</v>
      </c>
    </row>
    <row r="32" spans="2:14" outlineLevel="1" x14ac:dyDescent="0.15">
      <c r="B32" s="18" t="s">
        <v>27</v>
      </c>
      <c r="D32" s="18">
        <f>D31/D28</f>
        <v>0.49553730225592035</v>
      </c>
      <c r="E32" s="18">
        <f t="shared" ref="E32:N32" si="14">E31/E28</f>
        <v>0.53811847016016645</v>
      </c>
      <c r="F32" s="18">
        <f t="shared" si="14"/>
        <v>0.39732946698416455</v>
      </c>
      <c r="G32" s="18">
        <f t="shared" si="14"/>
        <v>0.46073786119375881</v>
      </c>
      <c r="H32" s="18">
        <f t="shared" si="14"/>
        <v>2.5659938694929703</v>
      </c>
      <c r="I32" s="18">
        <f t="shared" si="14"/>
        <v>0.82016155958319248</v>
      </c>
      <c r="J32" s="18">
        <f t="shared" si="14"/>
        <v>0.34248128238026293</v>
      </c>
      <c r="K32" s="18">
        <f t="shared" si="14"/>
        <v>0.26594796599193132</v>
      </c>
      <c r="L32" s="18">
        <f t="shared" si="14"/>
        <v>0.29242803988031502</v>
      </c>
      <c r="M32" s="18">
        <f t="shared" si="14"/>
        <v>0.32591635391881457</v>
      </c>
      <c r="N32" s="18">
        <f t="shared" si="14"/>
        <v>0.34745660148566632</v>
      </c>
    </row>
    <row r="33" spans="1:14" ht="5" customHeight="1" outlineLevel="1" x14ac:dyDescent="0.15"/>
    <row r="34" spans="1:14" outlineLevel="1" x14ac:dyDescent="0.15">
      <c r="B34" s="37" t="s">
        <v>25</v>
      </c>
      <c r="C34" s="37"/>
      <c r="D34" s="38">
        <f>IFERROR((D28-D31),0)</f>
        <v>2155.6700000000023</v>
      </c>
      <c r="E34" s="38">
        <f t="shared" ref="E34:N34" si="15">IFERROR((E28-E31),0)</f>
        <v>1973.9200000000087</v>
      </c>
      <c r="F34" s="38">
        <f t="shared" si="15"/>
        <v>3591.3799999999878</v>
      </c>
      <c r="G34" s="38">
        <f t="shared" si="15"/>
        <v>3340.3999999999833</v>
      </c>
      <c r="H34" s="38">
        <f t="shared" si="15"/>
        <v>-1205.6900000000107</v>
      </c>
      <c r="I34" s="38">
        <f t="shared" si="15"/>
        <v>360.8800000000042</v>
      </c>
      <c r="J34" s="38">
        <f t="shared" si="15"/>
        <v>4048.5400000000209</v>
      </c>
      <c r="K34" s="38">
        <f t="shared" si="15"/>
        <v>7413.0300000000152</v>
      </c>
      <c r="L34" s="38">
        <f t="shared" si="15"/>
        <v>8971.9699999999939</v>
      </c>
      <c r="M34" s="38">
        <f t="shared" si="15"/>
        <v>10354.700000000004</v>
      </c>
      <c r="N34" s="38">
        <f t="shared" si="15"/>
        <v>11107.149999999996</v>
      </c>
    </row>
    <row r="35" spans="1:14" outlineLevel="1" x14ac:dyDescent="0.15">
      <c r="B35" s="39" t="s">
        <v>65</v>
      </c>
      <c r="C35" s="39"/>
      <c r="D35" s="58">
        <f>D34/D7</f>
        <v>2.8423386587434707E-2</v>
      </c>
      <c r="E35" s="58">
        <f t="shared" ref="E35:N35" si="16">E34/E7</f>
        <v>2.3562709009639839E-2</v>
      </c>
      <c r="F35" s="58">
        <f t="shared" si="16"/>
        <v>3.8996915649724961E-2</v>
      </c>
      <c r="G35" s="58">
        <f t="shared" si="16"/>
        <v>3.1898188590830233E-2</v>
      </c>
      <c r="H35" s="58">
        <f t="shared" si="16"/>
        <v>-1.5994416699068474E-2</v>
      </c>
      <c r="I35" s="58">
        <f t="shared" si="16"/>
        <v>4.8585189271947039E-3</v>
      </c>
      <c r="J35" s="58">
        <f t="shared" si="16"/>
        <v>4.4898684792610499E-2</v>
      </c>
      <c r="K35" s="58">
        <f t="shared" si="16"/>
        <v>6.1129039639708851E-2</v>
      </c>
      <c r="L35" s="58">
        <f t="shared" si="16"/>
        <v>6.451022147456964E-2</v>
      </c>
      <c r="M35" s="58">
        <f t="shared" si="16"/>
        <v>6.5037665153662313E-2</v>
      </c>
      <c r="N35" s="58">
        <f t="shared" si="16"/>
        <v>6.3215044009756832E-2</v>
      </c>
    </row>
    <row r="36" spans="1:14" ht="5" customHeight="1" outlineLevel="1" x14ac:dyDescent="0.15"/>
    <row r="37" spans="1:14" outlineLevel="1" x14ac:dyDescent="0.15">
      <c r="B37" t="s">
        <v>67</v>
      </c>
      <c r="D37">
        <f>IFERROR('Data Sheet'!B93,0)</f>
        <v>124.22</v>
      </c>
      <c r="E37">
        <f>IFERROR('Data Sheet'!C93,0)</f>
        <v>124.22</v>
      </c>
      <c r="F37">
        <f>IFERROR('Data Sheet'!D93,0)</f>
        <v>124.32</v>
      </c>
      <c r="G37">
        <f>IFERROR('Data Sheet'!E93,0)</f>
        <v>124.32</v>
      </c>
      <c r="H37">
        <f>IFERROR('Data Sheet'!F93,0)</f>
        <v>124.32</v>
      </c>
      <c r="I37">
        <f>IFERROR('Data Sheet'!G93,0)</f>
        <v>124.32</v>
      </c>
      <c r="J37">
        <f>IFERROR('Data Sheet'!H93,0)</f>
        <v>124.32</v>
      </c>
      <c r="K37">
        <f>IFERROR('Data Sheet'!I93,0)</f>
        <v>124.35</v>
      </c>
      <c r="L37">
        <f>IFERROR('Data Sheet'!J93,0)</f>
        <v>124.35</v>
      </c>
      <c r="M37">
        <f>IFERROR('Data Sheet'!K93,0)</f>
        <v>124.35</v>
      </c>
      <c r="N37">
        <f>M37</f>
        <v>124.35</v>
      </c>
    </row>
    <row r="38" spans="1:14" ht="5" customHeight="1" outlineLevel="1" x14ac:dyDescent="0.15"/>
    <row r="39" spans="1:14" outlineLevel="1" x14ac:dyDescent="0.15">
      <c r="B39" t="s">
        <v>68</v>
      </c>
      <c r="D39" s="17">
        <f>IFERROR((D34/D37),0)</f>
        <v>17.353646755755936</v>
      </c>
      <c r="E39" s="17">
        <f t="shared" ref="E39:N39" si="17">IFERROR((E34/E37),0)</f>
        <v>15.890516824987994</v>
      </c>
      <c r="F39" s="17">
        <f t="shared" si="17"/>
        <v>28.888191763191667</v>
      </c>
      <c r="G39" s="17">
        <f t="shared" si="17"/>
        <v>26.869369369369235</v>
      </c>
      <c r="H39" s="17">
        <f t="shared" si="17"/>
        <v>-9.6982786357787223</v>
      </c>
      <c r="I39" s="17">
        <f t="shared" si="17"/>
        <v>2.9028314028314366</v>
      </c>
      <c r="J39" s="17">
        <f t="shared" si="17"/>
        <v>32.56547619047636</v>
      </c>
      <c r="K39" s="17">
        <f t="shared" si="17"/>
        <v>59.614234016887941</v>
      </c>
      <c r="L39" s="17">
        <f t="shared" si="17"/>
        <v>72.150944913550418</v>
      </c>
      <c r="M39" s="17">
        <f t="shared" si="17"/>
        <v>83.270607157217569</v>
      </c>
      <c r="N39" s="17">
        <f t="shared" si="17"/>
        <v>89.32167269802973</v>
      </c>
    </row>
    <row r="40" spans="1:14" outlineLevel="1" x14ac:dyDescent="0.15">
      <c r="B40" s="18" t="s">
        <v>69</v>
      </c>
      <c r="C40" s="18"/>
      <c r="D40" s="19">
        <f>0</f>
        <v>0</v>
      </c>
      <c r="E40" s="19">
        <f>E39/D39-1</f>
        <v>-8.4312533922164978E-2</v>
      </c>
      <c r="F40" s="19">
        <f t="shared" ref="F40:J40" si="18">F39/E39-1</f>
        <v>0.81795168032324161</v>
      </c>
      <c r="G40" s="19">
        <f t="shared" si="18"/>
        <v>-6.9884000022277126E-2</v>
      </c>
      <c r="H40" s="19">
        <f t="shared" si="18"/>
        <v>-1.3609418033768461</v>
      </c>
      <c r="I40" s="19">
        <f t="shared" si="18"/>
        <v>-1.2993140857102581</v>
      </c>
      <c r="J40" s="19">
        <f t="shared" si="18"/>
        <v>10.218521392152445</v>
      </c>
      <c r="K40" s="19">
        <f>K39/J39-1</f>
        <v>0.83059610945661166</v>
      </c>
      <c r="L40" s="19">
        <f t="shared" ref="L40" si="19">L39/K39-1</f>
        <v>0.21029727385427766</v>
      </c>
      <c r="M40" s="19">
        <f t="shared" ref="M40" si="20">M39/L39-1</f>
        <v>0.1541166544248378</v>
      </c>
      <c r="N40" s="19">
        <f>N39/M39-1</f>
        <v>7.2667484330786181E-2</v>
      </c>
    </row>
    <row r="41" spans="1:14" ht="5" customHeight="1" outlineLevel="1" x14ac:dyDescent="0.15"/>
    <row r="42" spans="1:14" outlineLevel="1" x14ac:dyDescent="0.15">
      <c r="B42" t="s">
        <v>70</v>
      </c>
      <c r="D42" s="17">
        <f>IFERROR(('Data Sheet'!B31/'Data Sheet'!B93),0)</f>
        <v>5.2242795041056196</v>
      </c>
      <c r="E42" s="17">
        <f>IFERROR(('Data Sheet'!C31/'Data Sheet'!C93),0)</f>
        <v>6.5</v>
      </c>
      <c r="F42" s="17">
        <f>IFERROR(('Data Sheet'!D31/'Data Sheet'!D93),0)</f>
        <v>6.5532496782496787</v>
      </c>
      <c r="G42" s="17">
        <f>IFERROR(('Data Sheet'!E31/'Data Sheet'!E93),0)</f>
        <v>7.4383043758043765</v>
      </c>
      <c r="H42" s="17">
        <f>IFERROR(('Data Sheet'!F31/'Data Sheet'!F93),0)</f>
        <v>2.0954794079794081</v>
      </c>
      <c r="I42" s="17">
        <f>IFERROR(('Data Sheet'!G31/'Data Sheet'!G93),0)</f>
        <v>7.8145913770913777</v>
      </c>
      <c r="J42" s="17">
        <f>IFERROR(('Data Sheet'!H31/'Data Sheet'!H93),0)</f>
        <v>10.332207207207208</v>
      </c>
      <c r="K42" s="17">
        <f>IFERROR(('Data Sheet'!I31/'Data Sheet'!I93),0)</f>
        <v>14.55295536791315</v>
      </c>
      <c r="L42" s="17">
        <f>IFERROR(('Data Sheet'!J31/'Data Sheet'!J93),0)</f>
        <v>18.915480498592682</v>
      </c>
      <c r="M42" s="17">
        <f>IFERROR(('Data Sheet'!K31/'Data Sheet'!K93),0)</f>
        <v>22.712022517088862</v>
      </c>
      <c r="N42" s="17">
        <f>M42</f>
        <v>22.712022517088862</v>
      </c>
    </row>
    <row r="43" spans="1:14" outlineLevel="1" x14ac:dyDescent="0.15">
      <c r="B43" s="56" t="s">
        <v>69</v>
      </c>
      <c r="C43" s="56"/>
      <c r="D43" s="19">
        <f>D42/D39</f>
        <v>0.30104793405298558</v>
      </c>
      <c r="E43" s="19">
        <f t="shared" ref="E43:J43" si="21">E42/E39</f>
        <v>0.4090489989462574</v>
      </c>
      <c r="F43" s="19">
        <f t="shared" si="21"/>
        <v>0.22684873224220292</v>
      </c>
      <c r="G43" s="19">
        <f t="shared" si="21"/>
        <v>0.27683211591426315</v>
      </c>
      <c r="H43" s="19">
        <f t="shared" si="21"/>
        <v>-0.21606714827194196</v>
      </c>
      <c r="I43" s="19">
        <f t="shared" si="21"/>
        <v>2.6920583019285877</v>
      </c>
      <c r="J43" s="19">
        <f t="shared" si="21"/>
        <v>0.31727486945911204</v>
      </c>
      <c r="K43" s="19">
        <f>K42/K39</f>
        <v>0.24411880162362709</v>
      </c>
      <c r="L43" s="19">
        <f t="shared" ref="L43" si="22">L42/L39</f>
        <v>0.26216538842639925</v>
      </c>
      <c r="M43" s="19">
        <f t="shared" ref="M43" si="23">M42/M39</f>
        <v>0.27274957265782673</v>
      </c>
      <c r="N43" s="19">
        <f t="shared" ref="N43" si="24">N42/N39</f>
        <v>0.25427224805643217</v>
      </c>
    </row>
    <row r="44" spans="1:14" ht="5" customHeight="1" outlineLevel="1" x14ac:dyDescent="0.15">
      <c r="B44" s="56"/>
      <c r="C44" s="56"/>
      <c r="D44" s="56"/>
      <c r="E44" s="56"/>
      <c r="F44" s="56"/>
      <c r="G44" s="56"/>
      <c r="H44" s="57"/>
      <c r="I44" s="56"/>
      <c r="J44" s="56"/>
      <c r="K44" s="56"/>
      <c r="L44" s="56"/>
      <c r="M44" s="56"/>
      <c r="N44" s="56"/>
    </row>
    <row r="45" spans="1:14" ht="15" outlineLevel="1" thickBot="1" x14ac:dyDescent="0.2">
      <c r="B45" s="59" t="s">
        <v>109</v>
      </c>
      <c r="C45" s="60"/>
      <c r="D45" s="61">
        <f>IFERROR(IF(D39&gt;D42,1-D43,),0)</f>
        <v>0.69895206594701442</v>
      </c>
      <c r="E45" s="61">
        <f t="shared" ref="E45:N45" si="25">IFERROR(IF(E39&gt;E42,1-E43,),0)</f>
        <v>0.59095100105374265</v>
      </c>
      <c r="F45" s="61">
        <f t="shared" si="25"/>
        <v>0.77315126775779708</v>
      </c>
      <c r="G45" s="61">
        <f t="shared" si="25"/>
        <v>0.72316788408573685</v>
      </c>
      <c r="H45" s="61">
        <f t="shared" si="25"/>
        <v>0</v>
      </c>
      <c r="I45" s="61">
        <f t="shared" si="25"/>
        <v>0</v>
      </c>
      <c r="J45" s="61">
        <f t="shared" si="25"/>
        <v>0.6827251305408879</v>
      </c>
      <c r="K45" s="61">
        <f t="shared" si="25"/>
        <v>0.75588119837637291</v>
      </c>
      <c r="L45" s="61">
        <f t="shared" si="25"/>
        <v>0.73783461157360075</v>
      </c>
      <c r="M45" s="61">
        <f t="shared" si="25"/>
        <v>0.72725042734217327</v>
      </c>
      <c r="N45" s="61">
        <f t="shared" si="25"/>
        <v>0.74572775194356788</v>
      </c>
    </row>
    <row r="46" spans="1:14" ht="15" thickTop="1" x14ac:dyDescent="0.15"/>
    <row r="48" spans="1:14" x14ac:dyDescent="0.15">
      <c r="A48" t="s">
        <v>108</v>
      </c>
      <c r="B48" s="15" t="s">
        <v>106</v>
      </c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</row>
    <row r="49" spans="2:13" hidden="1" outlineLevel="1" x14ac:dyDescent="0.15">
      <c r="B49" s="12" t="s">
        <v>58</v>
      </c>
    </row>
    <row r="50" spans="2:13" hidden="1" outlineLevel="1" x14ac:dyDescent="0.15">
      <c r="B50" s="2" t="s">
        <v>33</v>
      </c>
      <c r="D50" s="20">
        <f>IFERROR('Data Sheet'!B57,0)</f>
        <v>270.39999999999998</v>
      </c>
      <c r="E50" s="20">
        <f>IFERROR('Data Sheet'!C57,0)</f>
        <v>310.55</v>
      </c>
      <c r="F50" s="20">
        <f>IFERROR('Data Sheet'!D57,0)</f>
        <v>543.13</v>
      </c>
      <c r="G50" s="20">
        <f>IFERROR('Data Sheet'!E57,0)</f>
        <v>543.96</v>
      </c>
      <c r="H50" s="20">
        <f>IFERROR('Data Sheet'!F57,0)</f>
        <v>554.28</v>
      </c>
      <c r="I50" s="20">
        <f>IFERROR('Data Sheet'!G57,0)</f>
        <v>555.15</v>
      </c>
      <c r="J50" s="20">
        <f>IFERROR('Data Sheet'!H57,0)</f>
        <v>556.05999999999995</v>
      </c>
      <c r="K50" s="20">
        <f>IFERROR('Data Sheet'!I57,0)</f>
        <v>556.82000000000005</v>
      </c>
      <c r="L50" s="20">
        <f>IFERROR('Data Sheet'!J57,0)</f>
        <v>557.38</v>
      </c>
      <c r="M50" s="20">
        <f>IFERROR('Data Sheet'!K57,0)</f>
        <v>558.15</v>
      </c>
    </row>
    <row r="51" spans="2:13" hidden="1" outlineLevel="1" x14ac:dyDescent="0.15">
      <c r="B51" s="2" t="s">
        <v>34</v>
      </c>
      <c r="D51" s="20">
        <f>IFERROR('Data Sheet'!B58,0)</f>
        <v>26222.25</v>
      </c>
      <c r="E51" s="20">
        <f>IFERROR('Data Sheet'!C58,0)</f>
        <v>29467.1</v>
      </c>
      <c r="F51" s="20">
        <f>IFERROR('Data Sheet'!D58,0)</f>
        <v>36232.06</v>
      </c>
      <c r="G51" s="20">
        <f>IFERROR('Data Sheet'!E58,0)</f>
        <v>39439.449999999997</v>
      </c>
      <c r="H51" s="20">
        <f>IFERROR('Data Sheet'!F58,0)</f>
        <v>39415.03</v>
      </c>
      <c r="I51" s="20">
        <f>IFERROR('Data Sheet'!G58,0)</f>
        <v>41026.769999999997</v>
      </c>
      <c r="J51" s="20">
        <f>IFERROR('Data Sheet'!H58,0)</f>
        <v>46566.58</v>
      </c>
      <c r="K51" s="20">
        <f>IFERROR('Data Sheet'!I58,0)</f>
        <v>55808.97</v>
      </c>
      <c r="L51" s="20">
        <f>IFERROR('Data Sheet'!J58,0)</f>
        <v>65633.17</v>
      </c>
      <c r="M51" s="20">
        <f>IFERROR('Data Sheet'!K58,0)</f>
        <v>76480.710000000006</v>
      </c>
    </row>
    <row r="52" spans="2:13" hidden="1" outlineLevel="1" x14ac:dyDescent="0.15">
      <c r="B52" s="2" t="s">
        <v>35</v>
      </c>
      <c r="D52" s="20">
        <f>IFERROR('Data Sheet'!B59,0)</f>
        <v>41552.93</v>
      </c>
      <c r="E52" s="20">
        <f>IFERROR('Data Sheet'!C59,0)</f>
        <v>48761.91</v>
      </c>
      <c r="F52" s="20">
        <f>IFERROR('Data Sheet'!D59,0)</f>
        <v>55897.919999999998</v>
      </c>
      <c r="G52" s="20">
        <f>IFERROR('Data Sheet'!E59,0)</f>
        <v>70848.3</v>
      </c>
      <c r="H52" s="20">
        <f>IFERROR('Data Sheet'!F59,0)</f>
        <v>82092.28</v>
      </c>
      <c r="I52" s="20">
        <f>IFERROR('Data Sheet'!G59,0)</f>
        <v>80624.83</v>
      </c>
      <c r="J52" s="20">
        <f>IFERROR('Data Sheet'!H59,0)</f>
        <v>77605.210000000006</v>
      </c>
      <c r="K52" s="20">
        <f>IFERROR('Data Sheet'!I59,0)</f>
        <v>92246.85</v>
      </c>
      <c r="L52" s="20">
        <f>IFERROR('Data Sheet'!J59,0)</f>
        <v>108647.25</v>
      </c>
      <c r="M52" s="20">
        <f>IFERROR('Data Sheet'!K59,0)</f>
        <v>129024.58</v>
      </c>
    </row>
    <row r="53" spans="2:13" hidden="1" outlineLevel="1" x14ac:dyDescent="0.15">
      <c r="B53" s="2" t="s">
        <v>36</v>
      </c>
      <c r="D53" s="20">
        <f>IFERROR('Data Sheet'!B60,0)</f>
        <v>31806.240000000002</v>
      </c>
      <c r="E53" s="20">
        <f>IFERROR('Data Sheet'!C60,0)</f>
        <v>35295.919999999998</v>
      </c>
      <c r="F53" s="20">
        <f>IFERROR('Data Sheet'!D60,0)</f>
        <v>43696.2</v>
      </c>
      <c r="G53" s="20">
        <f>IFERROR('Data Sheet'!E60,0)</f>
        <v>51056.95</v>
      </c>
      <c r="H53" s="20">
        <f>IFERROR('Data Sheet'!F60,0)</f>
        <v>43654.54</v>
      </c>
      <c r="I53" s="20">
        <f>IFERROR('Data Sheet'!G60,0)</f>
        <v>42761.58</v>
      </c>
      <c r="J53" s="20">
        <f>IFERROR('Data Sheet'!H60,0)</f>
        <v>47660.639999999999</v>
      </c>
      <c r="K53" s="20">
        <f>IFERROR('Data Sheet'!I60,0)</f>
        <v>55670.49</v>
      </c>
      <c r="L53" s="20">
        <f>IFERROR('Data Sheet'!J60,0)</f>
        <v>59883.94</v>
      </c>
      <c r="M53" s="20">
        <f>IFERROR('Data Sheet'!K60,0)</f>
        <v>69949.72</v>
      </c>
    </row>
    <row r="54" spans="2:13" ht="15" hidden="1" outlineLevel="1" thickBot="1" x14ac:dyDescent="0.2">
      <c r="B54" s="22" t="s">
        <v>72</v>
      </c>
      <c r="C54" s="23"/>
      <c r="D54" s="24">
        <f>SUM(D50:D53)</f>
        <v>99851.82</v>
      </c>
      <c r="E54" s="24">
        <f t="shared" ref="E54:M54" si="26">SUM(E50:E53)</f>
        <v>113835.48</v>
      </c>
      <c r="F54" s="24">
        <f t="shared" si="26"/>
        <v>136369.31</v>
      </c>
      <c r="G54" s="24">
        <f t="shared" si="26"/>
        <v>161888.65999999997</v>
      </c>
      <c r="H54" s="24">
        <f t="shared" si="26"/>
        <v>165716.13</v>
      </c>
      <c r="I54" s="24">
        <f t="shared" si="26"/>
        <v>164968.33000000002</v>
      </c>
      <c r="J54" s="24">
        <f t="shared" si="26"/>
        <v>172388.49</v>
      </c>
      <c r="K54" s="24">
        <f t="shared" si="26"/>
        <v>204283.13</v>
      </c>
      <c r="L54" s="24">
        <f t="shared" si="26"/>
        <v>234721.74</v>
      </c>
      <c r="M54" s="24">
        <f t="shared" si="26"/>
        <v>276013.16000000003</v>
      </c>
    </row>
    <row r="55" spans="2:13" ht="5" hidden="1" customHeight="1" outlineLevel="1" x14ac:dyDescent="0.15">
      <c r="B55" s="1"/>
      <c r="D55" s="20"/>
      <c r="E55" s="20"/>
      <c r="F55" s="20"/>
      <c r="G55" s="20"/>
      <c r="H55" s="20"/>
      <c r="I55" s="20"/>
      <c r="J55" s="20"/>
      <c r="K55" s="20"/>
      <c r="L55" s="20"/>
      <c r="M55" s="20"/>
    </row>
    <row r="56" spans="2:13" hidden="1" outlineLevel="1" x14ac:dyDescent="0.15">
      <c r="B56" s="2" t="s">
        <v>38</v>
      </c>
      <c r="D56" s="20">
        <f>IFERROR('Data Sheet'!B62,0)</f>
        <v>20584.71</v>
      </c>
      <c r="E56" s="20">
        <f>IFERROR('Data Sheet'!C62,0)</f>
        <v>20989.01</v>
      </c>
      <c r="F56" s="20">
        <f>IFERROR('Data Sheet'!D62,0)</f>
        <v>26181.9</v>
      </c>
      <c r="G56" s="20">
        <f>IFERROR('Data Sheet'!E62,0)</f>
        <v>28982.74</v>
      </c>
      <c r="H56" s="20">
        <f>IFERROR('Data Sheet'!F62,0)</f>
        <v>29689.27</v>
      </c>
      <c r="I56" s="20">
        <f>IFERROR('Data Sheet'!G62,0)</f>
        <v>21379.68</v>
      </c>
      <c r="J56" s="20">
        <f>IFERROR('Data Sheet'!H62,0)</f>
        <v>26018.49</v>
      </c>
      <c r="K56" s="20">
        <f>IFERROR('Data Sheet'!I62,0)</f>
        <v>27139.98</v>
      </c>
      <c r="L56" s="20">
        <f>IFERROR('Data Sheet'!J62,0)</f>
        <v>28129.41</v>
      </c>
      <c r="M56" s="20">
        <f>IFERROR('Data Sheet'!K62,0)</f>
        <v>34636.36</v>
      </c>
    </row>
    <row r="57" spans="2:13" hidden="1" outlineLevel="1" x14ac:dyDescent="0.15">
      <c r="B57" s="2" t="s">
        <v>39</v>
      </c>
      <c r="D57" s="20">
        <f>IFERROR('Data Sheet'!B63,0)</f>
        <v>2371.35</v>
      </c>
      <c r="E57" s="20">
        <f>IFERROR('Data Sheet'!C63,0)</f>
        <v>4278.9399999999996</v>
      </c>
      <c r="F57" s="20">
        <f>IFERROR('Data Sheet'!D63,0)</f>
        <v>4269.47</v>
      </c>
      <c r="G57" s="20">
        <f>IFERROR('Data Sheet'!E63,0)</f>
        <v>4759.84</v>
      </c>
      <c r="H57" s="20">
        <f>IFERROR('Data Sheet'!F63,0)</f>
        <v>6856.48</v>
      </c>
      <c r="I57" s="20">
        <f>IFERROR('Data Sheet'!G63,0)</f>
        <v>7872.61</v>
      </c>
      <c r="J57" s="20">
        <f>IFERROR('Data Sheet'!H63,0)</f>
        <v>6702.81</v>
      </c>
      <c r="K57" s="20">
        <f>IFERROR('Data Sheet'!I63,0)</f>
        <v>3968.58</v>
      </c>
      <c r="L57" s="20">
        <f>IFERROR('Data Sheet'!J63,0)</f>
        <v>8039.3</v>
      </c>
      <c r="M57" s="20">
        <f>IFERROR('Data Sheet'!K63,0)</f>
        <v>8297.64</v>
      </c>
    </row>
    <row r="58" spans="2:13" hidden="1" outlineLevel="1" x14ac:dyDescent="0.15">
      <c r="B58" s="2" t="s">
        <v>40</v>
      </c>
      <c r="D58" s="20">
        <f>IFERROR('Data Sheet'!B64,0)</f>
        <v>11602.58</v>
      </c>
      <c r="E58" s="20">
        <f>IFERROR('Data Sheet'!C64,0)</f>
        <v>14662.44</v>
      </c>
      <c r="F58" s="20">
        <f>IFERROR('Data Sheet'!D64,0)</f>
        <v>16017.61</v>
      </c>
      <c r="G58" s="20">
        <f>IFERROR('Data Sheet'!E64,0)</f>
        <v>18268.099999999999</v>
      </c>
      <c r="H58" s="20">
        <f>IFERROR('Data Sheet'!F64,0)</f>
        <v>19210.34</v>
      </c>
      <c r="I58" s="20">
        <f>IFERROR('Data Sheet'!G64,0)</f>
        <v>28777.66</v>
      </c>
      <c r="J58" s="20">
        <f>IFERROR('Data Sheet'!H64,0)</f>
        <v>30060.43</v>
      </c>
      <c r="K58" s="20">
        <f>IFERROR('Data Sheet'!I64,0)</f>
        <v>35272.42</v>
      </c>
      <c r="L58" s="20">
        <f>IFERROR('Data Sheet'!J64,0)</f>
        <v>35208.1</v>
      </c>
      <c r="M58" s="20">
        <f>IFERROR('Data Sheet'!K64,0)</f>
        <v>41308.57</v>
      </c>
    </row>
    <row r="59" spans="2:13" hidden="1" outlineLevel="1" x14ac:dyDescent="0.15">
      <c r="B59" s="2" t="s">
        <v>41</v>
      </c>
      <c r="D59" s="20">
        <f>IFERROR('Data Sheet'!B65-SUM('Data Sheet'!B67:B69),0)</f>
        <v>45831.91</v>
      </c>
      <c r="E59" s="20">
        <f>IFERROR('Data Sheet'!C65-SUM('Data Sheet'!C67:C69),0)</f>
        <v>53165.789999999994</v>
      </c>
      <c r="F59" s="20">
        <f>IFERROR('Data Sheet'!D65-SUM('Data Sheet'!D67:D69),0)</f>
        <v>65527.340000000004</v>
      </c>
      <c r="G59" s="20">
        <f>IFERROR('Data Sheet'!E65-SUM('Data Sheet'!E67:E69),0)</f>
        <v>80265.01999999999</v>
      </c>
      <c r="H59" s="20">
        <f>IFERROR('Data Sheet'!F65-SUM('Data Sheet'!F67:F69),0)</f>
        <v>84009</v>
      </c>
      <c r="I59" s="20">
        <f>IFERROR('Data Sheet'!G65-SUM('Data Sheet'!G67:G69),0)</f>
        <v>78463.22</v>
      </c>
      <c r="J59" s="20">
        <f>IFERROR('Data Sheet'!H65-SUM('Data Sheet'!H67:H69),0)</f>
        <v>80519.37999999999</v>
      </c>
      <c r="K59" s="20">
        <f>IFERROR('Data Sheet'!I65-SUM('Data Sheet'!I67:I69),0)</f>
        <v>102745.73</v>
      </c>
      <c r="L59" s="20">
        <f>IFERROR('Data Sheet'!J65-SUM('Data Sheet'!J67:J69),0)</f>
        <v>125282.31</v>
      </c>
      <c r="M59" s="20">
        <f>IFERROR('Data Sheet'!K65-SUM('Data Sheet'!K67:K69),0)</f>
        <v>142545.12</v>
      </c>
    </row>
    <row r="60" spans="2:13" hidden="1" outlineLevel="1" x14ac:dyDescent="0.15">
      <c r="B60" s="25" t="s">
        <v>73</v>
      </c>
      <c r="C60" s="26"/>
      <c r="D60" s="27">
        <f>IFERROR(SUM(D56:D59),0)</f>
        <v>80390.55</v>
      </c>
      <c r="E60" s="27">
        <f t="shared" ref="E60:M60" si="27">IFERROR(SUM(E56:E59),0)</f>
        <v>93096.18</v>
      </c>
      <c r="F60" s="27">
        <f t="shared" si="27"/>
        <v>111996.32</v>
      </c>
      <c r="G60" s="27">
        <f t="shared" si="27"/>
        <v>132275.69999999998</v>
      </c>
      <c r="H60" s="27">
        <f t="shared" si="27"/>
        <v>139765.09</v>
      </c>
      <c r="I60" s="27">
        <f t="shared" si="27"/>
        <v>136493.16999999998</v>
      </c>
      <c r="J60" s="27">
        <f t="shared" si="27"/>
        <v>143301.10999999999</v>
      </c>
      <c r="K60" s="27">
        <f t="shared" si="27"/>
        <v>169126.71</v>
      </c>
      <c r="L60" s="27">
        <f t="shared" si="27"/>
        <v>196659.12</v>
      </c>
      <c r="M60" s="27">
        <f t="shared" si="27"/>
        <v>226787.69</v>
      </c>
    </row>
    <row r="61" spans="2:13" ht="5" hidden="1" customHeight="1" outlineLevel="1" x14ac:dyDescent="0.15">
      <c r="B61" s="1"/>
      <c r="D61" s="20"/>
      <c r="E61" s="20"/>
      <c r="F61" s="20"/>
      <c r="G61" s="20"/>
      <c r="H61" s="20"/>
      <c r="I61" s="20"/>
      <c r="J61" s="20"/>
      <c r="K61" s="20"/>
      <c r="L61" s="20"/>
      <c r="M61" s="20"/>
    </row>
    <row r="62" spans="2:13" hidden="1" outlineLevel="1" x14ac:dyDescent="0.15">
      <c r="B62" s="2" t="s">
        <v>42</v>
      </c>
      <c r="D62" s="20">
        <f>'Data Sheet'!B67</f>
        <v>5817.6</v>
      </c>
      <c r="E62" s="20">
        <f>'Data Sheet'!C67</f>
        <v>7199.26</v>
      </c>
      <c r="F62" s="20">
        <f>'Data Sheet'!D67</f>
        <v>8489.82</v>
      </c>
      <c r="G62" s="20">
        <f>'Data Sheet'!E67</f>
        <v>8677.89</v>
      </c>
      <c r="H62" s="20">
        <f>'Data Sheet'!F67</f>
        <v>6928.28</v>
      </c>
      <c r="I62" s="20">
        <f>'Data Sheet'!G67</f>
        <v>6007.76</v>
      </c>
      <c r="J62" s="20">
        <f>'Data Sheet'!H67</f>
        <v>6373.95</v>
      </c>
      <c r="K62" s="20">
        <f>'Data Sheet'!I67</f>
        <v>7028.02</v>
      </c>
      <c r="L62" s="20">
        <f>'Data Sheet'!J67</f>
        <v>7459.4</v>
      </c>
      <c r="M62" s="20">
        <f>'Data Sheet'!K67</f>
        <v>8279.7000000000007</v>
      </c>
    </row>
    <row r="63" spans="2:13" hidden="1" outlineLevel="1" x14ac:dyDescent="0.15">
      <c r="B63" s="2" t="s">
        <v>43</v>
      </c>
      <c r="D63" s="20">
        <f>'Data Sheet'!B68</f>
        <v>9116.1200000000008</v>
      </c>
      <c r="E63" s="20">
        <f>'Data Sheet'!C68</f>
        <v>8886.01</v>
      </c>
      <c r="F63" s="20">
        <f>'Data Sheet'!D68</f>
        <v>9335.57</v>
      </c>
      <c r="G63" s="20">
        <f>'Data Sheet'!E68</f>
        <v>12200.16</v>
      </c>
      <c r="H63" s="20">
        <f>'Data Sheet'!F68</f>
        <v>11111.86</v>
      </c>
      <c r="I63" s="20">
        <f>'Data Sheet'!G68</f>
        <v>9615.41</v>
      </c>
      <c r="J63" s="20">
        <f>'Data Sheet'!H68</f>
        <v>11595.82</v>
      </c>
      <c r="K63" s="20">
        <f>'Data Sheet'!I68</f>
        <v>16854.97</v>
      </c>
      <c r="L63" s="20">
        <f>'Data Sheet'!J68</f>
        <v>18590.47</v>
      </c>
      <c r="M63" s="20">
        <f>'Data Sheet'!K68</f>
        <v>20330.93</v>
      </c>
    </row>
    <row r="64" spans="2:13" hidden="1" outlineLevel="1" x14ac:dyDescent="0.15">
      <c r="B64" s="2" t="s">
        <v>44</v>
      </c>
      <c r="D64" s="20">
        <f>'Data Sheet'!B69</f>
        <v>4527.55</v>
      </c>
      <c r="E64" s="20">
        <f>'Data Sheet'!C69</f>
        <v>4654.03</v>
      </c>
      <c r="F64" s="20">
        <f>'Data Sheet'!D69</f>
        <v>6547.6</v>
      </c>
      <c r="G64" s="20">
        <f>'Data Sheet'!E69</f>
        <v>8734.91</v>
      </c>
      <c r="H64" s="20">
        <f>'Data Sheet'!F69</f>
        <v>7910.9</v>
      </c>
      <c r="I64" s="20">
        <f>'Data Sheet'!G69</f>
        <v>12851.99</v>
      </c>
      <c r="J64" s="20">
        <f>'Data Sheet'!H69</f>
        <v>11117.61</v>
      </c>
      <c r="K64" s="20">
        <f>'Data Sheet'!I69</f>
        <v>11273.43</v>
      </c>
      <c r="L64" s="20">
        <f>'Data Sheet'!J69</f>
        <v>12012.75</v>
      </c>
      <c r="M64" s="20">
        <f>'Data Sheet'!K69</f>
        <v>20614.84</v>
      </c>
    </row>
    <row r="65" spans="2:14" hidden="1" outlineLevel="1" x14ac:dyDescent="0.15">
      <c r="B65" s="28" t="s">
        <v>74</v>
      </c>
      <c r="C65" s="26"/>
      <c r="D65" s="27">
        <f>IFERROR(SUM(D62:D64),0)</f>
        <v>19461.27</v>
      </c>
      <c r="E65" s="27">
        <f t="shared" ref="E65:M65" si="28">IFERROR(SUM(E62:E64),0)</f>
        <v>20739.3</v>
      </c>
      <c r="F65" s="27">
        <f t="shared" si="28"/>
        <v>24372.989999999998</v>
      </c>
      <c r="G65" s="27">
        <f t="shared" si="28"/>
        <v>29612.959999999999</v>
      </c>
      <c r="H65" s="27">
        <f t="shared" si="28"/>
        <v>25951.040000000001</v>
      </c>
      <c r="I65" s="27">
        <f t="shared" si="28"/>
        <v>28475.16</v>
      </c>
      <c r="J65" s="27">
        <f t="shared" si="28"/>
        <v>29087.38</v>
      </c>
      <c r="K65" s="27">
        <f t="shared" si="28"/>
        <v>35156.42</v>
      </c>
      <c r="L65" s="27">
        <f t="shared" si="28"/>
        <v>38062.620000000003</v>
      </c>
      <c r="M65" s="27">
        <f t="shared" si="28"/>
        <v>49225.47</v>
      </c>
    </row>
    <row r="66" spans="2:14" ht="5" hidden="1" customHeight="1" outlineLevel="1" x14ac:dyDescent="0.15">
      <c r="D66" s="20"/>
      <c r="E66" s="20"/>
      <c r="F66" s="20"/>
      <c r="G66" s="20"/>
      <c r="H66" s="20"/>
      <c r="I66" s="20"/>
      <c r="J66" s="20"/>
      <c r="K66" s="20"/>
      <c r="L66" s="20"/>
      <c r="M66" s="20"/>
    </row>
    <row r="67" spans="2:14" ht="15" hidden="1" outlineLevel="1" thickBot="1" x14ac:dyDescent="0.2">
      <c r="B67" s="29" t="s">
        <v>71</v>
      </c>
      <c r="C67" s="30"/>
      <c r="D67" s="31">
        <f>IFERROR((D60+D65),0)</f>
        <v>99851.82</v>
      </c>
      <c r="E67" s="31">
        <f t="shared" ref="E67:M67" si="29">IFERROR((E60+E65),0)</f>
        <v>113835.48</v>
      </c>
      <c r="F67" s="31">
        <f t="shared" si="29"/>
        <v>136369.31</v>
      </c>
      <c r="G67" s="31">
        <f t="shared" si="29"/>
        <v>161888.65999999997</v>
      </c>
      <c r="H67" s="31">
        <f t="shared" si="29"/>
        <v>165716.13</v>
      </c>
      <c r="I67" s="31">
        <f t="shared" si="29"/>
        <v>164968.32999999999</v>
      </c>
      <c r="J67" s="31">
        <f t="shared" si="29"/>
        <v>172388.49</v>
      </c>
      <c r="K67" s="31">
        <f t="shared" si="29"/>
        <v>204283.13</v>
      </c>
      <c r="L67" s="31">
        <f t="shared" si="29"/>
        <v>234721.74</v>
      </c>
      <c r="M67" s="31">
        <f t="shared" si="29"/>
        <v>276013.16000000003</v>
      </c>
    </row>
    <row r="68" spans="2:14" hidden="1" outlineLevel="1" x14ac:dyDescent="0.15"/>
    <row r="69" spans="2:14" hidden="1" outlineLevel="1" x14ac:dyDescent="0.15">
      <c r="B69" s="32" t="s">
        <v>75</v>
      </c>
      <c r="C69" s="33"/>
      <c r="D69" s="33" t="b">
        <f>D67=D54</f>
        <v>1</v>
      </c>
      <c r="E69" s="33" t="b">
        <f>E67=E54</f>
        <v>1</v>
      </c>
      <c r="F69" s="33" t="b">
        <f>F67=F54</f>
        <v>1</v>
      </c>
      <c r="G69" s="33" t="b">
        <f>G67=G54</f>
        <v>1</v>
      </c>
      <c r="H69" s="33" t="b">
        <f>H67=H54</f>
        <v>1</v>
      </c>
      <c r="I69" s="33" t="b">
        <f>I67=I54</f>
        <v>1</v>
      </c>
      <c r="J69" s="33" t="b">
        <f>J67=J54</f>
        <v>1</v>
      </c>
      <c r="K69" s="33" t="b">
        <f>K67=K54</f>
        <v>1</v>
      </c>
      <c r="L69" s="33" t="b">
        <f>L67=L54</f>
        <v>1</v>
      </c>
      <c r="M69" s="33" t="b">
        <f>M67=M54</f>
        <v>1</v>
      </c>
    </row>
    <row r="70" spans="2:14" collapsed="1" x14ac:dyDescent="0.15"/>
    <row r="72" spans="2:14" x14ac:dyDescent="0.15">
      <c r="B72" s="15" t="s">
        <v>107</v>
      </c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</row>
    <row r="73" spans="2:14" hidden="1" outlineLevel="1" x14ac:dyDescent="0.15">
      <c r="B73" s="12" t="s">
        <v>58</v>
      </c>
    </row>
    <row r="74" spans="2:14" hidden="1" outlineLevel="1" x14ac:dyDescent="0.15">
      <c r="B74" t="s">
        <v>76</v>
      </c>
      <c r="D74" s="20">
        <f>IFERROR('Raw CF Data'!E5,0)</f>
        <v>7595</v>
      </c>
      <c r="E74" s="20">
        <f>IFERROR('Raw CF Data'!F5,0)</f>
        <v>7911</v>
      </c>
      <c r="F74" s="20">
        <f>IFERROR('Raw CF Data'!G5,0)</f>
        <v>10159</v>
      </c>
      <c r="G74" s="20">
        <f>IFERROR('Raw CF Data'!H5,0)</f>
        <v>11112</v>
      </c>
      <c r="H74" s="20">
        <f>IFERROR('Raw CF Data'!I5,0)</f>
        <v>7774</v>
      </c>
      <c r="I74" s="20">
        <f>IFERROR('Raw CF Data'!J5,0)</f>
        <v>7588</v>
      </c>
      <c r="J74" s="20">
        <f>IFERROR('Raw CF Data'!K5,0)</f>
        <v>10515</v>
      </c>
      <c r="K74" s="20">
        <f>IFERROR('Raw CF Data'!L5,0)</f>
        <v>15642</v>
      </c>
      <c r="L74" s="20">
        <f>IFERROR('Raw CF Data'!M5,0)</f>
        <v>17541</v>
      </c>
      <c r="M74" s="20">
        <f>IFERROR('Raw CF Data'!N5,0)</f>
        <v>22050</v>
      </c>
      <c r="N74" s="20"/>
    </row>
    <row r="75" spans="2:14" hidden="1" outlineLevel="1" x14ac:dyDescent="0.15">
      <c r="B75" t="s">
        <v>42</v>
      </c>
      <c r="D75" s="20">
        <f>IFERROR('Raw CF Data'!E6,0)</f>
        <v>177</v>
      </c>
      <c r="E75" s="20">
        <f>IFERROR('Raw CF Data'!F6,0)</f>
        <v>-8609</v>
      </c>
      <c r="F75" s="20">
        <f>IFERROR('Raw CF Data'!G6,0)</f>
        <v>-11918</v>
      </c>
      <c r="G75" s="20">
        <f>IFERROR('Raw CF Data'!H6,0)</f>
        <v>-13712</v>
      </c>
      <c r="H75" s="20">
        <f>IFERROR('Raw CF Data'!I6,0)</f>
        <v>-1516</v>
      </c>
      <c r="I75" s="20">
        <f>IFERROR('Raw CF Data'!J6,0)</f>
        <v>4896</v>
      </c>
      <c r="J75" s="20">
        <f>IFERROR('Raw CF Data'!K6,0)</f>
        <v>-2506</v>
      </c>
      <c r="K75" s="20">
        <f>IFERROR('Raw CF Data'!L6,0)</f>
        <v>-21702</v>
      </c>
      <c r="L75" s="20">
        <f>IFERROR('Raw CF Data'!M6,0)</f>
        <v>-21777</v>
      </c>
      <c r="M75" s="20">
        <f>IFERROR('Raw CF Data'!N6,0)</f>
        <v>-20952</v>
      </c>
    </row>
    <row r="76" spans="2:14" hidden="1" outlineLevel="1" x14ac:dyDescent="0.15">
      <c r="B76" t="s">
        <v>43</v>
      </c>
      <c r="D76" s="20">
        <f>IFERROR('Raw CF Data'!E7,0)</f>
        <v>-1113</v>
      </c>
      <c r="E76" s="20">
        <f>IFERROR('Raw CF Data'!F7,0)</f>
        <v>241</v>
      </c>
      <c r="F76" s="20">
        <f>IFERROR('Raw CF Data'!G7,0)</f>
        <v>-256</v>
      </c>
      <c r="G76" s="20">
        <f>IFERROR('Raw CF Data'!H7,0)</f>
        <v>-2276</v>
      </c>
      <c r="H76" s="20">
        <f>IFERROR('Raw CF Data'!I7,0)</f>
        <v>1316</v>
      </c>
      <c r="I76" s="20">
        <f>IFERROR('Raw CF Data'!J7,0)</f>
        <v>226</v>
      </c>
      <c r="J76" s="20">
        <f>IFERROR('Raw CF Data'!K7,0)</f>
        <v>-2173</v>
      </c>
      <c r="K76" s="20">
        <f>IFERROR('Raw CF Data'!L7,0)</f>
        <v>-5252</v>
      </c>
      <c r="L76" s="20">
        <f>IFERROR('Raw CF Data'!M7,0)</f>
        <v>-1753</v>
      </c>
      <c r="M76" s="20">
        <f>IFERROR('Raw CF Data'!N7,0)</f>
        <v>-1646</v>
      </c>
    </row>
    <row r="77" spans="2:14" hidden="1" outlineLevel="1" x14ac:dyDescent="0.15">
      <c r="B77" t="s">
        <v>77</v>
      </c>
      <c r="D77" s="20">
        <f>IFERROR('Raw CF Data'!E8,0)</f>
        <v>1939</v>
      </c>
      <c r="E77" s="20">
        <f>IFERROR('Raw CF Data'!F8,0)</f>
        <v>2645</v>
      </c>
      <c r="F77" s="20">
        <f>IFERROR('Raw CF Data'!G8,0)</f>
        <v>5361</v>
      </c>
      <c r="G77" s="20">
        <f>IFERROR('Raw CF Data'!H8,0)</f>
        <v>3466</v>
      </c>
      <c r="H77" s="20">
        <f>IFERROR('Raw CF Data'!I8,0)</f>
        <v>-6775</v>
      </c>
      <c r="I77" s="20">
        <f>IFERROR('Raw CF Data'!J8,0)</f>
        <v>7049</v>
      </c>
      <c r="J77" s="20">
        <f>IFERROR('Raw CF Data'!K8,0)</f>
        <v>4972</v>
      </c>
      <c r="K77" s="20">
        <f>IFERROR('Raw CF Data'!L8,0)</f>
        <v>7013</v>
      </c>
      <c r="L77" s="20">
        <f>IFERROR('Raw CF Data'!M8,0)</f>
        <v>4354</v>
      </c>
      <c r="M77" s="20">
        <f>IFERROR('Raw CF Data'!N8,0)</f>
        <v>8485</v>
      </c>
    </row>
    <row r="78" spans="2:14" hidden="1" outlineLevel="1" x14ac:dyDescent="0.15">
      <c r="B78" t="s">
        <v>78</v>
      </c>
      <c r="D78" s="20">
        <f>IFERROR('Raw CF Data'!E9,0)</f>
        <v>0</v>
      </c>
      <c r="E78" s="20">
        <f>IFERROR('Raw CF Data'!F9,0)</f>
        <v>0</v>
      </c>
      <c r="F78" s="20">
        <f>IFERROR('Raw CF Data'!G9,0)</f>
        <v>0</v>
      </c>
      <c r="G78" s="20">
        <f>IFERROR('Raw CF Data'!H9,0)</f>
        <v>0</v>
      </c>
      <c r="H78" s="20">
        <f>IFERROR('Raw CF Data'!I9,0)</f>
        <v>0</v>
      </c>
      <c r="I78" s="20">
        <f>IFERROR('Raw CF Data'!J9,0)</f>
        <v>0</v>
      </c>
      <c r="J78" s="20">
        <f>IFERROR('Raw CF Data'!K9,0)</f>
        <v>0</v>
      </c>
      <c r="K78" s="20">
        <f>IFERROR('Raw CF Data'!L9,0)</f>
        <v>0</v>
      </c>
      <c r="L78" s="20">
        <f>IFERROR('Raw CF Data'!M9,0)</f>
        <v>0</v>
      </c>
      <c r="M78" s="20">
        <f>IFERROR('Raw CF Data'!N9,0)</f>
        <v>0</v>
      </c>
    </row>
    <row r="79" spans="2:14" hidden="1" outlineLevel="1" x14ac:dyDescent="0.15">
      <c r="B79" t="s">
        <v>79</v>
      </c>
      <c r="D79" s="20">
        <f>IFERROR('Raw CF Data'!E10,0)</f>
        <v>-4241</v>
      </c>
      <c r="E79" s="20">
        <f>IFERROR('Raw CF Data'!F10,0)</f>
        <v>0</v>
      </c>
      <c r="F79" s="20">
        <f>IFERROR('Raw CF Data'!G10,0)</f>
        <v>0</v>
      </c>
      <c r="G79" s="20">
        <f>IFERROR('Raw CF Data'!H10,0)</f>
        <v>0</v>
      </c>
      <c r="H79" s="20">
        <f>IFERROR('Raw CF Data'!I10,0)</f>
        <v>0</v>
      </c>
      <c r="I79" s="20">
        <f>IFERROR('Raw CF Data'!J10,0)</f>
        <v>0</v>
      </c>
      <c r="J79" s="20">
        <f>IFERROR('Raw CF Data'!K10,0)</f>
        <v>0</v>
      </c>
      <c r="K79" s="20">
        <f>IFERROR('Raw CF Data'!L10,0)</f>
        <v>0</v>
      </c>
      <c r="L79" s="20">
        <f>IFERROR('Raw CF Data'!M10,0)</f>
        <v>0</v>
      </c>
      <c r="M79" s="20">
        <f>IFERROR('Raw CF Data'!N10,0)</f>
        <v>0</v>
      </c>
    </row>
    <row r="80" spans="2:14" hidden="1" outlineLevel="1" x14ac:dyDescent="0.15">
      <c r="B80" t="s">
        <v>80</v>
      </c>
      <c r="D80" s="20">
        <f>IFERROR('Raw CF Data'!E11,0)</f>
        <v>-3238</v>
      </c>
      <c r="E80" s="20">
        <f>IFERROR('Raw CF Data'!F11,0)</f>
        <v>-5724</v>
      </c>
      <c r="F80" s="20">
        <f>IFERROR('Raw CF Data'!G11,0)</f>
        <v>-6813</v>
      </c>
      <c r="G80" s="20">
        <f>IFERROR('Raw CF Data'!H11,0)</f>
        <v>-12522</v>
      </c>
      <c r="H80" s="20">
        <f>IFERROR('Raw CF Data'!I11,0)</f>
        <v>-6974</v>
      </c>
      <c r="I80" s="20">
        <f>IFERROR('Raw CF Data'!J11,0)</f>
        <v>12171</v>
      </c>
      <c r="J80" s="20">
        <f>IFERROR('Raw CF Data'!K11,0)</f>
        <v>293</v>
      </c>
      <c r="K80" s="20">
        <f>IFERROR('Raw CF Data'!L11,0)</f>
        <v>-19941</v>
      </c>
      <c r="L80" s="20">
        <f>IFERROR('Raw CF Data'!M11,0)</f>
        <v>-19175</v>
      </c>
      <c r="M80" s="20">
        <f>IFERROR('Raw CF Data'!N11,0)</f>
        <v>-14113</v>
      </c>
    </row>
    <row r="81" spans="2:13" hidden="1" outlineLevel="1" x14ac:dyDescent="0.15">
      <c r="B81" t="s">
        <v>81</v>
      </c>
      <c r="D81" s="20">
        <f>IFERROR('Raw CF Data'!E12,0)</f>
        <v>-1973</v>
      </c>
      <c r="E81" s="20">
        <f>IFERROR('Raw CF Data'!F12,0)</f>
        <v>-2005</v>
      </c>
      <c r="F81" s="20">
        <f>IFERROR('Raw CF Data'!G12,0)</f>
        <v>-2664</v>
      </c>
      <c r="G81" s="20">
        <f>IFERROR('Raw CF Data'!H12,0)</f>
        <v>-2937</v>
      </c>
      <c r="H81" s="20">
        <f>IFERROR('Raw CF Data'!I12,0)</f>
        <v>-2257</v>
      </c>
      <c r="I81" s="20">
        <f>IFERROR('Raw CF Data'!J12,0)</f>
        <v>-1850</v>
      </c>
      <c r="J81" s="20">
        <f>IFERROR('Raw CF Data'!K12,0)</f>
        <v>-1560</v>
      </c>
      <c r="K81" s="20">
        <f>IFERROR('Raw CF Data'!L12,0)</f>
        <v>-2775</v>
      </c>
      <c r="L81" s="20">
        <f>IFERROR('Raw CF Data'!M12,0)</f>
        <v>-3996</v>
      </c>
      <c r="M81" s="20">
        <f>IFERROR('Raw CF Data'!N12,0)</f>
        <v>-4761</v>
      </c>
    </row>
    <row r="82" spans="2:13" ht="15" hidden="1" outlineLevel="1" thickBot="1" x14ac:dyDescent="0.2">
      <c r="B82" s="47" t="s">
        <v>102</v>
      </c>
      <c r="C82" s="30"/>
      <c r="D82" s="31">
        <f>IFERROR(SUM(D74:D81),0)</f>
        <v>-854</v>
      </c>
      <c r="E82" s="31">
        <f t="shared" ref="E82:M82" si="30">IFERROR(SUM(E74:E81),0)</f>
        <v>-5541</v>
      </c>
      <c r="F82" s="31">
        <f t="shared" si="30"/>
        <v>-6131</v>
      </c>
      <c r="G82" s="31">
        <f t="shared" si="30"/>
        <v>-16869</v>
      </c>
      <c r="H82" s="31">
        <f t="shared" si="30"/>
        <v>-8432</v>
      </c>
      <c r="I82" s="31">
        <f t="shared" si="30"/>
        <v>30080</v>
      </c>
      <c r="J82" s="31">
        <f t="shared" si="30"/>
        <v>9541</v>
      </c>
      <c r="K82" s="31">
        <f t="shared" si="30"/>
        <v>-27015</v>
      </c>
      <c r="L82" s="31">
        <f t="shared" si="30"/>
        <v>-24806</v>
      </c>
      <c r="M82" s="31">
        <f t="shared" si="30"/>
        <v>-10937</v>
      </c>
    </row>
    <row r="83" spans="2:13" ht="6" hidden="1" customHeight="1" outlineLevel="1" x14ac:dyDescent="0.15"/>
    <row r="84" spans="2:13" hidden="1" outlineLevel="1" x14ac:dyDescent="0.15">
      <c r="B84" t="s">
        <v>82</v>
      </c>
      <c r="D84" s="20">
        <f>IFERROR('Raw CF Data'!E15,0)</f>
        <v>-4172</v>
      </c>
      <c r="E84" s="20">
        <f>IFERROR('Raw CF Data'!F15,0)</f>
        <v>-5026</v>
      </c>
      <c r="F84" s="20">
        <f>IFERROR('Raw CF Data'!G15,0)</f>
        <v>-5906</v>
      </c>
      <c r="G84" s="20">
        <f>IFERROR('Raw CF Data'!H15,0)</f>
        <v>-7340</v>
      </c>
      <c r="H84" s="20">
        <f>IFERROR('Raw CF Data'!I15,0)</f>
        <v>-6896</v>
      </c>
      <c r="I84" s="20">
        <f>IFERROR('Raw CF Data'!J15,0)</f>
        <v>-5989</v>
      </c>
      <c r="J84" s="20">
        <f>IFERROR('Raw CF Data'!K15,0)</f>
        <v>-6040</v>
      </c>
      <c r="K84" s="20">
        <f>IFERROR('Raw CF Data'!L15,0)</f>
        <v>-6305</v>
      </c>
      <c r="L84" s="20">
        <f>IFERROR('Raw CF Data'!M15,0)</f>
        <v>-9946</v>
      </c>
      <c r="M84" s="20">
        <f>IFERROR('Raw CF Data'!N15,0)</f>
        <v>-10392</v>
      </c>
    </row>
    <row r="85" spans="2:13" hidden="1" outlineLevel="1" x14ac:dyDescent="0.15">
      <c r="B85" t="s">
        <v>83</v>
      </c>
      <c r="D85" s="20">
        <f>IFERROR('Raw CF Data'!E16,0)</f>
        <v>59</v>
      </c>
      <c r="E85" s="20">
        <f>IFERROR('Raw CF Data'!F16,0)</f>
        <v>63</v>
      </c>
      <c r="F85" s="20">
        <f>IFERROR('Raw CF Data'!G16,0)</f>
        <v>115</v>
      </c>
      <c r="G85" s="20">
        <f>IFERROR('Raw CF Data'!H16,0)</f>
        <v>142</v>
      </c>
      <c r="H85" s="20">
        <f>IFERROR('Raw CF Data'!I16,0)</f>
        <v>102</v>
      </c>
      <c r="I85" s="20">
        <f>IFERROR('Raw CF Data'!J16,0)</f>
        <v>1364</v>
      </c>
      <c r="J85" s="20">
        <f>IFERROR('Raw CF Data'!K16,0)</f>
        <v>120</v>
      </c>
      <c r="K85" s="20">
        <f>IFERROR('Raw CF Data'!L16,0)</f>
        <v>138</v>
      </c>
      <c r="L85" s="20">
        <f>IFERROR('Raw CF Data'!M16,0)</f>
        <v>273</v>
      </c>
      <c r="M85" s="20">
        <f>IFERROR('Raw CF Data'!N16,0)</f>
        <v>583</v>
      </c>
    </row>
    <row r="86" spans="2:13" hidden="1" outlineLevel="1" x14ac:dyDescent="0.15">
      <c r="B86" t="s">
        <v>84</v>
      </c>
      <c r="D86" s="20">
        <f>IFERROR('Raw CF Data'!E17,0)</f>
        <v>-87898</v>
      </c>
      <c r="E86" s="20">
        <f>IFERROR('Raw CF Data'!F17,0)</f>
        <v>-132173</v>
      </c>
      <c r="F86" s="20">
        <f>IFERROR('Raw CF Data'!G17,0)</f>
        <v>-155159</v>
      </c>
      <c r="G86" s="20">
        <f>IFERROR('Raw CF Data'!H17,0)</f>
        <v>-196474</v>
      </c>
      <c r="H86" s="20">
        <f>IFERROR('Raw CF Data'!I17,0)</f>
        <v>-198568</v>
      </c>
      <c r="I86" s="20">
        <f>IFERROR('Raw CF Data'!J17,0)</f>
        <v>-120055</v>
      </c>
      <c r="J86" s="20">
        <f>IFERROR('Raw CF Data'!K17,0)</f>
        <v>-65421</v>
      </c>
      <c r="K86" s="20">
        <f>IFERROR('Raw CF Data'!L17,0)</f>
        <v>-50165</v>
      </c>
      <c r="L86" s="20">
        <f>IFERROR('Raw CF Data'!M17,0)</f>
        <v>-49927</v>
      </c>
      <c r="M86" s="20">
        <f>IFERROR('Raw CF Data'!N17,0)</f>
        <v>-90595</v>
      </c>
    </row>
    <row r="87" spans="2:13" hidden="1" outlineLevel="1" x14ac:dyDescent="0.15">
      <c r="B87" t="s">
        <v>85</v>
      </c>
      <c r="D87" s="20">
        <f>IFERROR('Raw CF Data'!E18,0)</f>
        <v>86436</v>
      </c>
      <c r="E87" s="20">
        <f>IFERROR('Raw CF Data'!F18,0)</f>
        <v>130940</v>
      </c>
      <c r="F87" s="20">
        <f>IFERROR('Raw CF Data'!G18,0)</f>
        <v>154631</v>
      </c>
      <c r="G87" s="20">
        <f>IFERROR('Raw CF Data'!H18,0)</f>
        <v>195898</v>
      </c>
      <c r="H87" s="20">
        <f>IFERROR('Raw CF Data'!I18,0)</f>
        <v>198132</v>
      </c>
      <c r="I87" s="20">
        <f>IFERROR('Raw CF Data'!J18,0)</f>
        <v>111749</v>
      </c>
      <c r="J87" s="20">
        <f>IFERROR('Raw CF Data'!K18,0)</f>
        <v>65127</v>
      </c>
      <c r="K87" s="20">
        <f>IFERROR('Raw CF Data'!L18,0)</f>
        <v>46269</v>
      </c>
      <c r="L87" s="20">
        <f>IFERROR('Raw CF Data'!M18,0)</f>
        <v>50919</v>
      </c>
      <c r="M87" s="20">
        <f>IFERROR('Raw CF Data'!N18,0)</f>
        <v>85257</v>
      </c>
    </row>
    <row r="88" spans="2:13" hidden="1" outlineLevel="1" x14ac:dyDescent="0.15">
      <c r="B88" t="s">
        <v>86</v>
      </c>
      <c r="D88" s="20">
        <f>IFERROR('Raw CF Data'!E19,0)</f>
        <v>311</v>
      </c>
      <c r="E88" s="20">
        <f>IFERROR('Raw CF Data'!F19,0)</f>
        <v>346</v>
      </c>
      <c r="F88" s="20">
        <f>IFERROR('Raw CF Data'!G19,0)</f>
        <v>254</v>
      </c>
      <c r="G88" s="20">
        <f>IFERROR('Raw CF Data'!H19,0)</f>
        <v>314</v>
      </c>
      <c r="H88" s="20">
        <f>IFERROR('Raw CF Data'!I19,0)</f>
        <v>372</v>
      </c>
      <c r="I88" s="20">
        <f>IFERROR('Raw CF Data'!J19,0)</f>
        <v>431</v>
      </c>
      <c r="J88" s="20">
        <f>IFERROR('Raw CF Data'!K19,0)</f>
        <v>420</v>
      </c>
      <c r="K88" s="20">
        <f>IFERROR('Raw CF Data'!L19,0)</f>
        <v>464</v>
      </c>
      <c r="L88" s="20">
        <f>IFERROR('Raw CF Data'!M19,0)</f>
        <v>703</v>
      </c>
      <c r="M88" s="20">
        <f>IFERROR('Raw CF Data'!N19,0)</f>
        <v>884</v>
      </c>
    </row>
    <row r="89" spans="2:13" hidden="1" outlineLevel="1" x14ac:dyDescent="0.15">
      <c r="B89" t="s">
        <v>87</v>
      </c>
      <c r="D89" s="20">
        <f>IFERROR('Raw CF Data'!E20,0)</f>
        <v>208</v>
      </c>
      <c r="E89" s="20">
        <f>IFERROR('Raw CF Data'!F20,0)</f>
        <v>409</v>
      </c>
      <c r="F89" s="20">
        <f>IFERROR('Raw CF Data'!G20,0)</f>
        <v>316</v>
      </c>
      <c r="G89" s="20">
        <f>IFERROR('Raw CF Data'!H20,0)</f>
        <v>466</v>
      </c>
      <c r="H89" s="20">
        <f>IFERROR('Raw CF Data'!I20,0)</f>
        <v>722</v>
      </c>
      <c r="I89" s="20">
        <f>IFERROR('Raw CF Data'!J20,0)</f>
        <v>577</v>
      </c>
      <c r="J89" s="20">
        <f>IFERROR('Raw CF Data'!K20,0)</f>
        <v>1247</v>
      </c>
      <c r="K89" s="20">
        <f>IFERROR('Raw CF Data'!L20,0)</f>
        <v>1397</v>
      </c>
      <c r="L89" s="20">
        <f>IFERROR('Raw CF Data'!M20,0)</f>
        <v>1213</v>
      </c>
      <c r="M89" s="20">
        <f>IFERROR('Raw CF Data'!N20,0)</f>
        <v>1374</v>
      </c>
    </row>
    <row r="90" spans="2:13" hidden="1" outlineLevel="1" x14ac:dyDescent="0.15">
      <c r="B90" t="s">
        <v>88</v>
      </c>
      <c r="D90" s="20">
        <f>IFERROR('Raw CF Data'!E21,0)</f>
        <v>-147</v>
      </c>
      <c r="E90" s="20">
        <f>IFERROR('Raw CF Data'!F21,0)</f>
        <v>-647</v>
      </c>
      <c r="F90" s="20">
        <f>IFERROR('Raw CF Data'!G21,0)</f>
        <v>-704</v>
      </c>
      <c r="G90" s="20">
        <f>IFERROR('Raw CF Data'!H21,0)</f>
        <v>-319</v>
      </c>
      <c r="H90" s="20">
        <f>IFERROR('Raw CF Data'!I21,0)</f>
        <v>-418</v>
      </c>
      <c r="I90" s="20">
        <f>IFERROR('Raw CF Data'!J21,0)</f>
        <v>-359</v>
      </c>
      <c r="J90" s="20">
        <f>IFERROR('Raw CF Data'!K21,0)</f>
        <v>-222</v>
      </c>
      <c r="K90" s="20">
        <f>IFERROR('Raw CF Data'!L21,0)</f>
        <v>-62</v>
      </c>
      <c r="L90" s="20">
        <f>IFERROR('Raw CF Data'!M21,0)</f>
        <v>-249</v>
      </c>
      <c r="M90" s="20">
        <f>IFERROR('Raw CF Data'!N21,0)</f>
        <v>-29</v>
      </c>
    </row>
    <row r="91" spans="2:13" hidden="1" outlineLevel="1" x14ac:dyDescent="0.15">
      <c r="B91" t="s">
        <v>89</v>
      </c>
      <c r="D91" s="20">
        <f>IFERROR('Raw CF Data'!E22,0)</f>
        <v>0</v>
      </c>
      <c r="E91" s="20">
        <f>IFERROR('Raw CF Data'!F22,0)</f>
        <v>0</v>
      </c>
      <c r="F91" s="20">
        <f>IFERROR('Raw CF Data'!G22,0)</f>
        <v>0</v>
      </c>
      <c r="G91" s="20">
        <f>IFERROR('Raw CF Data'!H22,0)</f>
        <v>0</v>
      </c>
      <c r="H91" s="20">
        <f>IFERROR('Raw CF Data'!I22,0)</f>
        <v>0</v>
      </c>
      <c r="I91" s="20">
        <f>IFERROR('Raw CF Data'!J22,0)</f>
        <v>0</v>
      </c>
      <c r="J91" s="20">
        <f>IFERROR('Raw CF Data'!K22,0)</f>
        <v>0</v>
      </c>
      <c r="K91" s="20">
        <f>IFERROR('Raw CF Data'!L22,0)</f>
        <v>0</v>
      </c>
      <c r="L91" s="20">
        <f>IFERROR('Raw CF Data'!M22,0)</f>
        <v>0</v>
      </c>
      <c r="M91" s="20">
        <f>IFERROR('Raw CF Data'!N22,0)</f>
        <v>0</v>
      </c>
    </row>
    <row r="92" spans="2:13" hidden="1" outlineLevel="1" x14ac:dyDescent="0.15">
      <c r="B92" t="s">
        <v>90</v>
      </c>
      <c r="D92" s="20">
        <f>IFERROR('Raw CF Data'!E23,0)</f>
        <v>0</v>
      </c>
      <c r="E92" s="20">
        <f>IFERROR('Raw CF Data'!F23,0)</f>
        <v>88</v>
      </c>
      <c r="F92" s="20">
        <f>IFERROR('Raw CF Data'!G23,0)</f>
        <v>1677</v>
      </c>
      <c r="G92" s="20">
        <f>IFERROR('Raw CF Data'!H23,0)</f>
        <v>717</v>
      </c>
      <c r="H92" s="20">
        <f>IFERROR('Raw CF Data'!I23,0)</f>
        <v>175</v>
      </c>
      <c r="I92" s="20">
        <f>IFERROR('Raw CF Data'!J23,0)</f>
        <v>316</v>
      </c>
      <c r="J92" s="20">
        <f>IFERROR('Raw CF Data'!K23,0)</f>
        <v>617</v>
      </c>
      <c r="K92" s="20">
        <f>IFERROR('Raw CF Data'!L23,0)</f>
        <v>1863</v>
      </c>
      <c r="L92" s="20">
        <f>IFERROR('Raw CF Data'!M23,0)</f>
        <v>1043</v>
      </c>
      <c r="M92" s="20">
        <f>IFERROR('Raw CF Data'!N23,0)</f>
        <v>620</v>
      </c>
    </row>
    <row r="93" spans="2:13" hidden="1" outlineLevel="1" x14ac:dyDescent="0.15">
      <c r="B93" t="s">
        <v>91</v>
      </c>
      <c r="D93" s="20">
        <f>IFERROR('Raw CF Data'!E24,0)</f>
        <v>-208</v>
      </c>
      <c r="E93" s="20">
        <f>IFERROR('Raw CF Data'!F24,0)</f>
        <v>-83</v>
      </c>
      <c r="F93" s="20">
        <f>IFERROR('Raw CF Data'!G24,0)</f>
        <v>-401</v>
      </c>
      <c r="G93" s="20">
        <f>IFERROR('Raw CF Data'!H24,0)</f>
        <v>0</v>
      </c>
      <c r="H93" s="20">
        <f>IFERROR('Raw CF Data'!I24,0)</f>
        <v>-59</v>
      </c>
      <c r="I93" s="20">
        <f>IFERROR('Raw CF Data'!J24,0)</f>
        <v>0</v>
      </c>
      <c r="J93" s="20">
        <f>IFERROR('Raw CF Data'!K24,0)</f>
        <v>-42</v>
      </c>
      <c r="K93" s="20">
        <f>IFERROR('Raw CF Data'!L24,0)</f>
        <v>-587</v>
      </c>
      <c r="L93" s="20">
        <f>IFERROR('Raw CF Data'!M24,0)</f>
        <v>-53</v>
      </c>
      <c r="M93" s="20">
        <f>IFERROR('Raw CF Data'!N24,0)</f>
        <v>0</v>
      </c>
    </row>
    <row r="94" spans="2:13" hidden="1" outlineLevel="1" x14ac:dyDescent="0.15">
      <c r="B94" t="s">
        <v>92</v>
      </c>
      <c r="D94" s="20">
        <f>IFERROR('Raw CF Data'!E25,0)</f>
        <v>0</v>
      </c>
      <c r="E94" s="20">
        <f>IFERROR('Raw CF Data'!F25,0)</f>
        <v>0</v>
      </c>
      <c r="F94" s="20">
        <f>IFERROR('Raw CF Data'!G25,0)</f>
        <v>0</v>
      </c>
      <c r="G94" s="20">
        <f>IFERROR('Raw CF Data'!H25,0)</f>
        <v>0</v>
      </c>
      <c r="H94" s="20">
        <f>IFERROR('Raw CF Data'!I25,0)</f>
        <v>6</v>
      </c>
      <c r="I94" s="20">
        <f>IFERROR('Raw CF Data'!J25,0)</f>
        <v>-262</v>
      </c>
      <c r="J94" s="20">
        <f>IFERROR('Raw CF Data'!K25,0)</f>
        <v>-552</v>
      </c>
      <c r="K94" s="20">
        <f>IFERROR('Raw CF Data'!L25,0)</f>
        <v>-93</v>
      </c>
      <c r="L94" s="20">
        <f>IFERROR('Raw CF Data'!M25,0)</f>
        <v>485</v>
      </c>
      <c r="M94" s="20">
        <f>IFERROR('Raw CF Data'!N25,0)</f>
        <v>-244</v>
      </c>
    </row>
    <row r="95" spans="2:13" hidden="1" outlineLevel="1" x14ac:dyDescent="0.15">
      <c r="B95" t="s">
        <v>93</v>
      </c>
      <c r="D95" s="20">
        <f>IFERROR('Raw CF Data'!E26,0)</f>
        <v>-94</v>
      </c>
      <c r="E95" s="20">
        <f>IFERROR('Raw CF Data'!F26,0)</f>
        <v>209</v>
      </c>
      <c r="F95" s="20">
        <f>IFERROR('Raw CF Data'!G26,0)</f>
        <v>-290</v>
      </c>
      <c r="G95" s="20">
        <f>IFERROR('Raw CF Data'!H26,0)</f>
        <v>-577</v>
      </c>
      <c r="H95" s="20">
        <f>IFERROR('Raw CF Data'!I26,0)</f>
        <v>-437</v>
      </c>
      <c r="I95" s="20">
        <f>IFERROR('Raw CF Data'!J26,0)</f>
        <v>-7457</v>
      </c>
      <c r="J95" s="20">
        <f>IFERROR('Raw CF Data'!K26,0)</f>
        <v>1494</v>
      </c>
      <c r="K95" s="20">
        <f>IFERROR('Raw CF Data'!L26,0)</f>
        <v>-1786</v>
      </c>
      <c r="L95" s="20">
        <f>IFERROR('Raw CF Data'!M26,0)</f>
        <v>-78</v>
      </c>
      <c r="M95" s="20">
        <f>IFERROR('Raw CF Data'!N26,0)</f>
        <v>-6075</v>
      </c>
    </row>
    <row r="96" spans="2:13" ht="15" hidden="1" outlineLevel="1" thickBot="1" x14ac:dyDescent="0.2">
      <c r="B96" s="47" t="s">
        <v>103</v>
      </c>
      <c r="C96" s="30"/>
      <c r="D96" s="31">
        <f>IFERROR(SUM(D84:D95),0)</f>
        <v>-5505</v>
      </c>
      <c r="E96" s="31">
        <f t="shared" ref="E96:M96" si="31">IFERROR(SUM(E84:E95),0)</f>
        <v>-5874</v>
      </c>
      <c r="F96" s="31">
        <f t="shared" si="31"/>
        <v>-5467</v>
      </c>
      <c r="G96" s="31">
        <f t="shared" si="31"/>
        <v>-7173</v>
      </c>
      <c r="H96" s="31">
        <f t="shared" si="31"/>
        <v>-6869</v>
      </c>
      <c r="I96" s="31">
        <f t="shared" si="31"/>
        <v>-19685</v>
      </c>
      <c r="J96" s="31">
        <f t="shared" si="31"/>
        <v>-3252</v>
      </c>
      <c r="K96" s="31">
        <f t="shared" si="31"/>
        <v>-8867</v>
      </c>
      <c r="L96" s="31">
        <f t="shared" si="31"/>
        <v>-5617</v>
      </c>
      <c r="M96" s="31">
        <f t="shared" si="31"/>
        <v>-18617</v>
      </c>
    </row>
    <row r="97" spans="2:13" ht="6" hidden="1" customHeight="1" outlineLevel="1" x14ac:dyDescent="0.15"/>
    <row r="98" spans="2:13" hidden="1" outlineLevel="1" x14ac:dyDescent="0.15">
      <c r="B98" t="s">
        <v>94</v>
      </c>
      <c r="D98" s="20">
        <f>IFERROR('Raw CF Data'!E29,0)</f>
        <v>18</v>
      </c>
      <c r="E98" s="20">
        <f>IFERROR('Raw CF Data'!F29,0)</f>
        <v>12</v>
      </c>
      <c r="F98" s="20">
        <f>IFERROR('Raw CF Data'!G29,0)</f>
        <v>4</v>
      </c>
      <c r="G98" s="20">
        <f>IFERROR('Raw CF Data'!H29,0)</f>
        <v>1</v>
      </c>
      <c r="H98" s="20">
        <f>IFERROR('Raw CF Data'!I29,0)</f>
        <v>1243</v>
      </c>
      <c r="I98" s="20">
        <f>IFERROR('Raw CF Data'!J29,0)</f>
        <v>1</v>
      </c>
      <c r="J98" s="20">
        <f>IFERROR('Raw CF Data'!K29,0)</f>
        <v>1</v>
      </c>
      <c r="K98" s="20">
        <f>IFERROR('Raw CF Data'!L29,0)</f>
        <v>1</v>
      </c>
      <c r="L98" s="20">
        <f>IFERROR('Raw CF Data'!M29,0)</f>
        <v>1</v>
      </c>
      <c r="M98" s="20">
        <f>IFERROR('Raw CF Data'!N29,0)</f>
        <v>1</v>
      </c>
    </row>
    <row r="99" spans="2:13" hidden="1" outlineLevel="1" x14ac:dyDescent="0.15">
      <c r="B99" t="s">
        <v>95</v>
      </c>
      <c r="D99" s="20">
        <f>IFERROR('Raw CF Data'!E30,0)</f>
        <v>0</v>
      </c>
      <c r="E99" s="20">
        <f>IFERROR('Raw CF Data'!F30,0)</f>
        <v>0</v>
      </c>
      <c r="F99" s="20">
        <f>IFERROR('Raw CF Data'!G30,0)</f>
        <v>0</v>
      </c>
      <c r="G99" s="20">
        <f>IFERROR('Raw CF Data'!H30,0)</f>
        <v>71389</v>
      </c>
      <c r="H99" s="20">
        <f>IFERROR('Raw CF Data'!I30,0)</f>
        <v>52618</v>
      </c>
      <c r="I99" s="20">
        <f>IFERROR('Raw CF Data'!J30,0)</f>
        <v>38100</v>
      </c>
      <c r="J99" s="20">
        <f>IFERROR('Raw CF Data'!K30,0)</f>
        <v>53880</v>
      </c>
      <c r="K99" s="20">
        <f>IFERROR('Raw CF Data'!L30,0)</f>
        <v>55622</v>
      </c>
      <c r="L99" s="20">
        <f>IFERROR('Raw CF Data'!M30,0)</f>
        <v>61308</v>
      </c>
      <c r="M99" s="20">
        <f>IFERROR('Raw CF Data'!N30,0)</f>
        <v>82590</v>
      </c>
    </row>
    <row r="100" spans="2:13" hidden="1" outlineLevel="1" x14ac:dyDescent="0.15">
      <c r="B100" t="s">
        <v>96</v>
      </c>
      <c r="D100" s="20">
        <f>IFERROR('Raw CF Data'!E31,0)</f>
        <v>0</v>
      </c>
      <c r="E100" s="20">
        <f>IFERROR('Raw CF Data'!F31,0)</f>
        <v>0</v>
      </c>
      <c r="F100" s="20">
        <f>IFERROR('Raw CF Data'!G31,0)</f>
        <v>0</v>
      </c>
      <c r="G100" s="20">
        <f>IFERROR('Raw CF Data'!H31,0)</f>
        <v>-56352</v>
      </c>
      <c r="H100" s="20">
        <f>IFERROR('Raw CF Data'!I31,0)</f>
        <v>-44044</v>
      </c>
      <c r="I100" s="20">
        <f>IFERROR('Raw CF Data'!J31,0)</f>
        <v>-37505</v>
      </c>
      <c r="J100" s="20">
        <f>IFERROR('Raw CF Data'!K31,0)</f>
        <v>-57223</v>
      </c>
      <c r="K100" s="20">
        <f>IFERROR('Raw CF Data'!L31,0)</f>
        <v>-37056</v>
      </c>
      <c r="L100" s="20">
        <f>IFERROR('Raw CF Data'!M31,0)</f>
        <v>-46805</v>
      </c>
      <c r="M100" s="20">
        <f>IFERROR('Raw CF Data'!N31,0)</f>
        <v>-64689</v>
      </c>
    </row>
    <row r="101" spans="2:13" hidden="1" outlineLevel="1" x14ac:dyDescent="0.15">
      <c r="B101" t="s">
        <v>97</v>
      </c>
      <c r="D101" s="20">
        <f>IFERROR('Raw CF Data'!E32,0)</f>
        <v>-443</v>
      </c>
      <c r="E101" s="20">
        <f>IFERROR('Raw CF Data'!F32,0)</f>
        <v>-471</v>
      </c>
      <c r="F101" s="20">
        <f>IFERROR('Raw CF Data'!G32,0)</f>
        <v>-521</v>
      </c>
      <c r="G101" s="20">
        <f>IFERROR('Raw CF Data'!H32,0)</f>
        <v>-723</v>
      </c>
      <c r="H101" s="20">
        <f>IFERROR('Raw CF Data'!I32,0)</f>
        <v>-624</v>
      </c>
      <c r="I101" s="20">
        <f>IFERROR('Raw CF Data'!J32,0)</f>
        <v>-809</v>
      </c>
      <c r="J101" s="20">
        <f>IFERROR('Raw CF Data'!K32,0)</f>
        <v>-680</v>
      </c>
      <c r="K101" s="20">
        <f>IFERROR('Raw CF Data'!L32,0)</f>
        <v>-734</v>
      </c>
      <c r="L101" s="20">
        <f>IFERROR('Raw CF Data'!M32,0)</f>
        <v>-597</v>
      </c>
      <c r="M101" s="20">
        <f>IFERROR('Raw CF Data'!N32,0)</f>
        <v>-436</v>
      </c>
    </row>
    <row r="102" spans="2:13" hidden="1" outlineLevel="1" x14ac:dyDescent="0.15">
      <c r="B102" t="s">
        <v>98</v>
      </c>
      <c r="D102" s="20">
        <f>IFERROR('Raw CF Data'!E33,0)</f>
        <v>-932</v>
      </c>
      <c r="E102" s="20">
        <f>IFERROR('Raw CF Data'!F33,0)</f>
        <v>-936</v>
      </c>
      <c r="F102" s="20">
        <f>IFERROR('Raw CF Data'!G33,0)</f>
        <v>-963</v>
      </c>
      <c r="G102" s="20">
        <f>IFERROR('Raw CF Data'!H33,0)</f>
        <v>-1134</v>
      </c>
      <c r="H102" s="20">
        <f>IFERROR('Raw CF Data'!I33,0)</f>
        <v>-1398</v>
      </c>
      <c r="I102" s="20">
        <f>IFERROR('Raw CF Data'!J33,0)</f>
        <v>-271</v>
      </c>
      <c r="J102" s="20">
        <f>IFERROR('Raw CF Data'!K33,0)</f>
        <v>-1037</v>
      </c>
      <c r="K102" s="20">
        <f>IFERROR('Raw CF Data'!L33,0)</f>
        <v>-1522</v>
      </c>
      <c r="L102" s="20">
        <f>IFERROR('Raw CF Data'!M33,0)</f>
        <v>-2247</v>
      </c>
      <c r="M102" s="20">
        <f>IFERROR('Raw CF Data'!N33,0)</f>
        <v>-2806</v>
      </c>
    </row>
    <row r="103" spans="2:13" hidden="1" outlineLevel="1" x14ac:dyDescent="0.15">
      <c r="B103" t="s">
        <v>99</v>
      </c>
      <c r="D103" s="20">
        <f>IFERROR('Raw CF Data'!E34,0)</f>
        <v>0</v>
      </c>
      <c r="E103" s="20">
        <f>IFERROR('Raw CF Data'!F34,0)</f>
        <v>0</v>
      </c>
      <c r="F103" s="20">
        <f>IFERROR('Raw CF Data'!G34,0)</f>
        <v>0</v>
      </c>
      <c r="G103" s="20">
        <f>IFERROR('Raw CF Data'!H34,0)</f>
        <v>0</v>
      </c>
      <c r="H103" s="20">
        <f>IFERROR('Raw CF Data'!I34,0)</f>
        <v>-558</v>
      </c>
      <c r="I103" s="20">
        <f>IFERROR('Raw CF Data'!J34,0)</f>
        <v>-553</v>
      </c>
      <c r="J103" s="20">
        <f>IFERROR('Raw CF Data'!K34,0)</f>
        <v>-583</v>
      </c>
      <c r="K103" s="20">
        <f>IFERROR('Raw CF Data'!L34,0)</f>
        <v>-751</v>
      </c>
      <c r="L103" s="20">
        <f>IFERROR('Raw CF Data'!M34,0)</f>
        <v>-786</v>
      </c>
      <c r="M103" s="20">
        <f>IFERROR('Raw CF Data'!N34,0)</f>
        <v>-887</v>
      </c>
    </row>
    <row r="104" spans="2:13" hidden="1" outlineLevel="1" x14ac:dyDescent="0.15">
      <c r="B104" t="s">
        <v>100</v>
      </c>
      <c r="D104" s="20">
        <f>IFERROR('Raw CF Data'!E35,0)</f>
        <v>4324</v>
      </c>
      <c r="E104" s="20">
        <f>IFERROR('Raw CF Data'!F35,0)</f>
        <v>7503</v>
      </c>
      <c r="F104" s="20">
        <f>IFERROR('Raw CF Data'!G35,0)</f>
        <v>7794</v>
      </c>
      <c r="G104" s="20">
        <f>IFERROR('Raw CF Data'!H35,0)</f>
        <v>12</v>
      </c>
      <c r="H104" s="20">
        <f>IFERROR('Raw CF Data'!I35,0)</f>
        <v>-304</v>
      </c>
      <c r="I104" s="20">
        <f>IFERROR('Raw CF Data'!J35,0)</f>
        <v>1444</v>
      </c>
      <c r="J104" s="20">
        <f>IFERROR('Raw CF Data'!K35,0)</f>
        <v>-240</v>
      </c>
      <c r="K104" s="20">
        <f>IFERROR('Raw CF Data'!L35,0)</f>
        <v>386</v>
      </c>
      <c r="L104" s="20">
        <f>IFERROR('Raw CF Data'!M35,0)</f>
        <v>1408</v>
      </c>
      <c r="M104" s="20">
        <f>IFERROR('Raw CF Data'!N35,0)</f>
        <v>2062</v>
      </c>
    </row>
    <row r="105" spans="2:13" ht="15" hidden="1" outlineLevel="1" thickBot="1" x14ac:dyDescent="0.2">
      <c r="B105" s="47" t="s">
        <v>104</v>
      </c>
      <c r="C105" s="30"/>
      <c r="D105" s="31">
        <f>IFERROR(SUM(D98:D104),0)</f>
        <v>2967</v>
      </c>
      <c r="E105" s="31">
        <f t="shared" ref="E105:M105" si="32">IFERROR(SUM(E98:E104),0)</f>
        <v>6108</v>
      </c>
      <c r="F105" s="31">
        <f t="shared" si="32"/>
        <v>6314</v>
      </c>
      <c r="G105" s="31">
        <f t="shared" si="32"/>
        <v>13193</v>
      </c>
      <c r="H105" s="31">
        <f t="shared" si="32"/>
        <v>6933</v>
      </c>
      <c r="I105" s="31">
        <f t="shared" si="32"/>
        <v>407</v>
      </c>
      <c r="J105" s="31">
        <f t="shared" si="32"/>
        <v>-5882</v>
      </c>
      <c r="K105" s="31">
        <f t="shared" si="32"/>
        <v>15946</v>
      </c>
      <c r="L105" s="31">
        <f t="shared" si="32"/>
        <v>12282</v>
      </c>
      <c r="M105" s="31">
        <f t="shared" si="32"/>
        <v>15835</v>
      </c>
    </row>
    <row r="106" spans="2:13" ht="6" hidden="1" customHeight="1" outlineLevel="1" thickBot="1" x14ac:dyDescent="0.2"/>
    <row r="107" spans="2:13" ht="16" hidden="1" outlineLevel="1" thickTop="1" thickBot="1" x14ac:dyDescent="0.2">
      <c r="B107" s="52" t="s">
        <v>52</v>
      </c>
      <c r="C107" s="53"/>
      <c r="D107" s="54">
        <f>IFERROR((D105+D96+D82),0)</f>
        <v>-3392</v>
      </c>
      <c r="E107" s="54">
        <f t="shared" ref="E107:M107" si="33">IFERROR((E105+E96+E82),0)</f>
        <v>-5307</v>
      </c>
      <c r="F107" s="54">
        <f t="shared" si="33"/>
        <v>-5284</v>
      </c>
      <c r="G107" s="54">
        <f t="shared" si="33"/>
        <v>-10849</v>
      </c>
      <c r="H107" s="54">
        <f t="shared" si="33"/>
        <v>-8368</v>
      </c>
      <c r="I107" s="54">
        <f t="shared" si="33"/>
        <v>10802</v>
      </c>
      <c r="J107" s="54">
        <f t="shared" si="33"/>
        <v>407</v>
      </c>
      <c r="K107" s="54">
        <f t="shared" si="33"/>
        <v>-19936</v>
      </c>
      <c r="L107" s="54">
        <f t="shared" si="33"/>
        <v>-18141</v>
      </c>
      <c r="M107" s="54">
        <f t="shared" si="33"/>
        <v>-13719</v>
      </c>
    </row>
    <row r="108" spans="2:13" collapsed="1" x14ac:dyDescent="0.15"/>
  </sheetData>
  <mergeCells count="2">
    <mergeCell ref="D2:N2"/>
    <mergeCell ref="B2:C3"/>
  </mergeCells>
  <pageMargins left="0.7" right="0.7" top="0.75" bottom="0.75" header="0.3" footer="0.3"/>
  <pageSetup paperSize="9" orientation="portrait" horizontalDpi="0" verticalDpi="0"/>
  <ignoredErrors>
    <ignoredError sqref="D16:M16 N22 N10 N7 N25 N3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6F1C9-A3C9-9F45-9475-BE6F62FC6320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5"/>
  </cols>
  <sheetData/>
  <mergeCells count="1">
    <mergeCell ref="A1:XFD104857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7BB78-E191-FC4B-B07D-8FEE528DEBA0}">
  <sheetPr>
    <tabColor theme="0" tint="-0.249977111117893"/>
  </sheetPr>
  <dimension ref="A1"/>
  <sheetViews>
    <sheetView zoomScale="140" zoomScaleNormal="140" workbookViewId="0">
      <selection sqref="A1:XFD1048576"/>
    </sheetView>
  </sheetViews>
  <sheetFormatPr baseColWidth="10" defaultRowHeight="14" x14ac:dyDescent="0.15"/>
  <cols>
    <col min="1" max="16384" width="10.83203125" style="55"/>
  </cols>
  <sheetData/>
  <mergeCells count="1">
    <mergeCell ref="A1:XFD104857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D56A-AA32-9142-8B49-161ECF008C97}">
  <sheetPr>
    <tabColor rgb="FFFF0000"/>
  </sheetPr>
  <dimension ref="A1:L93"/>
  <sheetViews>
    <sheetView zoomScale="140" zoomScaleNormal="140" workbookViewId="0">
      <pane xSplit="1" ySplit="1" topLeftCell="B2" activePane="bottomRight" state="frozen"/>
      <selection activeCell="C4" sqref="C4"/>
      <selection pane="topRight" activeCell="C4" sqref="C4"/>
      <selection pane="bottomLeft" activeCell="C4" sqref="C4"/>
      <selection pane="bottomRight" activeCell="C64" sqref="C64"/>
    </sheetView>
  </sheetViews>
  <sheetFormatPr baseColWidth="10" defaultColWidth="10.5" defaultRowHeight="13" x14ac:dyDescent="0.15"/>
  <cols>
    <col min="1" max="1" width="26.6640625" style="2" bestFit="1" customWidth="1"/>
    <col min="2" max="11" width="11.5" style="2" bestFit="1" customWidth="1"/>
    <col min="12" max="16384" width="10.5" style="2"/>
  </cols>
  <sheetData>
    <row r="1" spans="1:11" s="1" customFormat="1" x14ac:dyDescent="0.15">
      <c r="A1" s="1" t="s">
        <v>0</v>
      </c>
      <c r="B1" s="1" t="s">
        <v>1</v>
      </c>
      <c r="E1" s="50" t="str">
        <f>IF(B2&lt;&gt;B3, "A NEW VERSION OF THE WORKSHEET IS AVAILABLE", "")</f>
        <v/>
      </c>
      <c r="F1" s="50"/>
      <c r="G1" s="50"/>
      <c r="H1" s="50"/>
      <c r="I1" s="50"/>
      <c r="J1" s="50"/>
      <c r="K1" s="50"/>
    </row>
    <row r="2" spans="1:11" x14ac:dyDescent="0.15">
      <c r="A2" s="1" t="s">
        <v>2</v>
      </c>
      <c r="B2" s="2">
        <v>2.1</v>
      </c>
      <c r="E2" s="51" t="s">
        <v>3</v>
      </c>
      <c r="F2" s="51"/>
      <c r="G2" s="51"/>
      <c r="H2" s="51"/>
      <c r="I2" s="51"/>
      <c r="J2" s="51"/>
      <c r="K2" s="51"/>
    </row>
    <row r="3" spans="1:11" x14ac:dyDescent="0.15">
      <c r="A3" s="1" t="s">
        <v>4</v>
      </c>
      <c r="B3" s="2">
        <v>2.1</v>
      </c>
    </row>
    <row r="4" spans="1:11" x14ac:dyDescent="0.15">
      <c r="A4" s="1"/>
    </row>
    <row r="5" spans="1:11" x14ac:dyDescent="0.15">
      <c r="A5" s="1" t="s">
        <v>5</v>
      </c>
    </row>
    <row r="6" spans="1:11" x14ac:dyDescent="0.15">
      <c r="A6" s="2" t="s">
        <v>6</v>
      </c>
      <c r="B6" s="2">
        <f>IF(B9&gt;0, B9/B8, 0)</f>
        <v>124.35289234688986</v>
      </c>
    </row>
    <row r="7" spans="1:11" x14ac:dyDescent="0.15">
      <c r="A7" s="2" t="s">
        <v>7</v>
      </c>
      <c r="B7" s="3">
        <v>5</v>
      </c>
    </row>
    <row r="8" spans="1:11" x14ac:dyDescent="0.15">
      <c r="A8" s="2" t="s">
        <v>8</v>
      </c>
      <c r="B8" s="3">
        <v>3650.15</v>
      </c>
    </row>
    <row r="9" spans="1:11" x14ac:dyDescent="0.15">
      <c r="A9" s="2" t="s">
        <v>9</v>
      </c>
      <c r="B9" s="3">
        <v>453906.71</v>
      </c>
    </row>
    <row r="15" spans="1:11" x14ac:dyDescent="0.15">
      <c r="A15" s="1" t="s">
        <v>10</v>
      </c>
      <c r="B15" s="2">
        <f>B26+B34</f>
        <v>13516.849999999999</v>
      </c>
      <c r="K15" s="2">
        <f>K17-K18-K20-K21-K22-K23-K19</f>
        <v>36511.540000000015</v>
      </c>
    </row>
    <row r="16" spans="1:11" s="6" customFormat="1" x14ac:dyDescent="0.15">
      <c r="A16" s="4" t="s">
        <v>11</v>
      </c>
      <c r="B16" s="5">
        <v>42460</v>
      </c>
      <c r="C16" s="5">
        <v>42825</v>
      </c>
      <c r="D16" s="5">
        <v>43190</v>
      </c>
      <c r="E16" s="5">
        <v>43555</v>
      </c>
      <c r="F16" s="5">
        <v>43921</v>
      </c>
      <c r="G16" s="5">
        <v>44286</v>
      </c>
      <c r="H16" s="5">
        <v>44651</v>
      </c>
      <c r="I16" s="5">
        <v>45016</v>
      </c>
      <c r="J16" s="5">
        <v>45382</v>
      </c>
      <c r="K16" s="5">
        <v>45747</v>
      </c>
    </row>
    <row r="17" spans="1:11" x14ac:dyDescent="0.15">
      <c r="A17" s="2" t="s">
        <v>12</v>
      </c>
      <c r="B17" s="3">
        <v>75841.42</v>
      </c>
      <c r="C17" s="3">
        <v>83773.05</v>
      </c>
      <c r="D17" s="3">
        <v>92093.95</v>
      </c>
      <c r="E17" s="3">
        <v>104720.68</v>
      </c>
      <c r="F17" s="3">
        <v>75381.929999999993</v>
      </c>
      <c r="G17" s="3">
        <v>74277.78</v>
      </c>
      <c r="H17" s="3">
        <v>90170.57</v>
      </c>
      <c r="I17" s="3">
        <v>121268.55</v>
      </c>
      <c r="J17" s="3">
        <v>139078.26999999999</v>
      </c>
      <c r="K17" s="3">
        <v>159210.82</v>
      </c>
    </row>
    <row r="18" spans="1:11" ht="15" x14ac:dyDescent="0.2">
      <c r="A18" s="2" t="s">
        <v>13</v>
      </c>
      <c r="B18" s="7">
        <v>45584.35</v>
      </c>
      <c r="C18" s="7">
        <v>50655.199999999997</v>
      </c>
      <c r="D18" s="7">
        <v>53457.29</v>
      </c>
      <c r="E18" s="7">
        <v>61881.19</v>
      </c>
      <c r="F18" s="7">
        <v>37595.300000000003</v>
      </c>
      <c r="G18" s="7">
        <v>38271.199999999997</v>
      </c>
      <c r="H18" s="7">
        <v>52664.85</v>
      </c>
      <c r="I18" s="7">
        <v>76019.87</v>
      </c>
      <c r="J18" s="7">
        <v>85070.07</v>
      </c>
      <c r="K18" s="7">
        <v>95754.9</v>
      </c>
    </row>
    <row r="19" spans="1:11" ht="15" x14ac:dyDescent="0.2">
      <c r="A19" s="2" t="s">
        <v>14</v>
      </c>
      <c r="B19" s="7">
        <v>458.51</v>
      </c>
      <c r="C19" s="7">
        <v>13.83</v>
      </c>
      <c r="D19" s="7">
        <v>-83.33</v>
      </c>
      <c r="E19" s="7">
        <v>1730.48</v>
      </c>
      <c r="F19" s="7">
        <v>-826.62</v>
      </c>
      <c r="G19" s="7">
        <v>-135.59</v>
      </c>
      <c r="H19" s="7">
        <v>861.66</v>
      </c>
      <c r="I19" s="7">
        <v>2032.31</v>
      </c>
      <c r="J19" s="7">
        <v>1455.32</v>
      </c>
      <c r="K19" s="7">
        <v>12.18</v>
      </c>
    </row>
    <row r="20" spans="1:11" x14ac:dyDescent="0.15">
      <c r="A20" s="2" t="s">
        <v>15</v>
      </c>
      <c r="B20" s="3">
        <v>639.97</v>
      </c>
      <c r="C20" s="3">
        <v>657.06</v>
      </c>
      <c r="D20" s="3">
        <v>733.9</v>
      </c>
      <c r="E20" s="3">
        <v>817.11</v>
      </c>
      <c r="F20" s="3">
        <v>530.91999999999996</v>
      </c>
      <c r="G20" s="3">
        <v>429.56</v>
      </c>
      <c r="H20" s="3">
        <v>541.27</v>
      </c>
      <c r="I20" s="3">
        <v>830.48</v>
      </c>
      <c r="J20" s="3">
        <v>752.73</v>
      </c>
      <c r="K20" s="3">
        <v>832.35</v>
      </c>
    </row>
    <row r="21" spans="1:11" x14ac:dyDescent="0.15">
      <c r="A21" s="2" t="s">
        <v>16</v>
      </c>
      <c r="B21" s="3">
        <v>2618.6999999999998</v>
      </c>
      <c r="C21" s="3">
        <v>3255.3</v>
      </c>
      <c r="D21" s="3">
        <v>3590.26</v>
      </c>
      <c r="E21" s="3">
        <v>4253</v>
      </c>
      <c r="F21" s="3">
        <v>3277.79</v>
      </c>
      <c r="G21" s="3">
        <v>2523.4</v>
      </c>
      <c r="H21" s="3">
        <v>3124.27</v>
      </c>
      <c r="I21" s="3">
        <v>3838.42</v>
      </c>
      <c r="J21" s="3">
        <v>3791.75</v>
      </c>
      <c r="K21" s="3">
        <v>4162.28</v>
      </c>
    </row>
    <row r="22" spans="1:11" x14ac:dyDescent="0.15">
      <c r="A22" s="2" t="s">
        <v>17</v>
      </c>
      <c r="B22" s="3">
        <v>7689.4</v>
      </c>
      <c r="C22" s="3">
        <v>8910.6299999999992</v>
      </c>
      <c r="D22" s="3">
        <v>10004.620000000001</v>
      </c>
      <c r="E22" s="3">
        <v>11242.08</v>
      </c>
      <c r="F22" s="3">
        <v>8214.82</v>
      </c>
      <c r="G22" s="3">
        <v>7813.26</v>
      </c>
      <c r="H22" s="3">
        <v>8386.74</v>
      </c>
      <c r="I22" s="3">
        <v>9677.9500000000007</v>
      </c>
      <c r="J22" s="3">
        <v>10624.33</v>
      </c>
      <c r="K22" s="3">
        <v>11126.17</v>
      </c>
    </row>
    <row r="23" spans="1:11" x14ac:dyDescent="0.15">
      <c r="A23" s="2" t="s">
        <v>18</v>
      </c>
      <c r="B23" s="3">
        <v>5758.86</v>
      </c>
      <c r="C23" s="3">
        <v>6253.64</v>
      </c>
      <c r="D23" s="3">
        <v>7591.15</v>
      </c>
      <c r="E23" s="3">
        <v>9658.98</v>
      </c>
      <c r="F23" s="3">
        <v>6316.52</v>
      </c>
      <c r="G23" s="3">
        <v>4628.75</v>
      </c>
      <c r="H23" s="3">
        <v>5977.67</v>
      </c>
      <c r="I23" s="3">
        <v>7681.87</v>
      </c>
      <c r="J23" s="3">
        <v>9832.2000000000007</v>
      </c>
      <c r="K23" s="3">
        <v>10811.4</v>
      </c>
    </row>
    <row r="24" spans="1:11" x14ac:dyDescent="0.15">
      <c r="A24" s="2" t="s">
        <v>19</v>
      </c>
      <c r="B24" s="3">
        <v>3926.21</v>
      </c>
      <c r="C24" s="3">
        <v>3320.22</v>
      </c>
      <c r="D24" s="3">
        <v>3407.3</v>
      </c>
      <c r="E24" s="3">
        <v>3392.29</v>
      </c>
      <c r="F24" s="3">
        <v>8462.2099999999991</v>
      </c>
      <c r="G24" s="3">
        <v>8989</v>
      </c>
      <c r="H24" s="3">
        <v>5654.58</v>
      </c>
      <c r="I24" s="3">
        <v>4966.9799999999996</v>
      </c>
      <c r="J24" s="3">
        <v>5570.58</v>
      </c>
      <c r="K24" s="3">
        <v>6017.71</v>
      </c>
    </row>
    <row r="25" spans="1:11" x14ac:dyDescent="0.15">
      <c r="A25" s="2" t="s">
        <v>20</v>
      </c>
      <c r="B25" s="3">
        <v>1398.83</v>
      </c>
      <c r="C25" s="3">
        <v>2076.61</v>
      </c>
      <c r="D25" s="3">
        <v>4366.41</v>
      </c>
      <c r="E25" s="3">
        <v>2676.45</v>
      </c>
      <c r="F25" s="3">
        <v>884.69</v>
      </c>
      <c r="G25" s="3">
        <v>1151.51</v>
      </c>
      <c r="H25" s="3">
        <v>3204.47</v>
      </c>
      <c r="I25" s="3">
        <v>3961.45</v>
      </c>
      <c r="J25" s="3">
        <v>3297.85</v>
      </c>
      <c r="K25" s="3">
        <v>3718.47</v>
      </c>
    </row>
    <row r="26" spans="1:11" x14ac:dyDescent="0.15">
      <c r="A26" s="2" t="s">
        <v>21</v>
      </c>
      <c r="B26" s="3">
        <v>2441.65</v>
      </c>
      <c r="C26" s="3">
        <v>2812.72</v>
      </c>
      <c r="D26" s="3">
        <v>3279.9</v>
      </c>
      <c r="E26" s="3">
        <v>3990.77</v>
      </c>
      <c r="F26" s="3">
        <v>3366.68</v>
      </c>
      <c r="G26" s="3">
        <v>3378.11</v>
      </c>
      <c r="H26" s="3">
        <v>3507.5</v>
      </c>
      <c r="I26" s="3">
        <v>4356.8100000000004</v>
      </c>
      <c r="J26" s="3">
        <v>4723.78</v>
      </c>
      <c r="K26" s="3">
        <v>6073.65</v>
      </c>
    </row>
    <row r="27" spans="1:11" ht="15" x14ac:dyDescent="0.2">
      <c r="A27" s="2" t="s">
        <v>22</v>
      </c>
      <c r="B27" s="3">
        <v>3367.59</v>
      </c>
      <c r="C27" s="3">
        <v>3648.46</v>
      </c>
      <c r="D27" s="3">
        <v>3987.09</v>
      </c>
      <c r="E27" s="3">
        <v>5021.3500000000004</v>
      </c>
      <c r="F27" s="3">
        <v>6021.15</v>
      </c>
      <c r="G27" s="3">
        <v>6102.22</v>
      </c>
      <c r="H27" s="3">
        <v>5018.05</v>
      </c>
      <c r="I27" s="3">
        <v>5829.7</v>
      </c>
      <c r="J27" s="7">
        <v>7488.21</v>
      </c>
      <c r="K27" s="7">
        <v>9083.39</v>
      </c>
    </row>
    <row r="28" spans="1:11" x14ac:dyDescent="0.15">
      <c r="A28" s="2" t="s">
        <v>23</v>
      </c>
      <c r="B28" s="3">
        <v>5672.03</v>
      </c>
      <c r="C28" s="3">
        <v>6350.26</v>
      </c>
      <c r="D28" s="3">
        <v>10325.52</v>
      </c>
      <c r="E28" s="3">
        <v>8870.84</v>
      </c>
      <c r="F28" s="3">
        <v>1654.61</v>
      </c>
      <c r="G28" s="3">
        <v>3158.2</v>
      </c>
      <c r="H28" s="3">
        <v>9361.77</v>
      </c>
      <c r="I28" s="3">
        <v>14060.23</v>
      </c>
      <c r="J28" s="3">
        <v>15977.79</v>
      </c>
      <c r="K28" s="3">
        <v>19079.62</v>
      </c>
    </row>
    <row r="29" spans="1:11" x14ac:dyDescent="0.15">
      <c r="A29" s="2" t="s">
        <v>24</v>
      </c>
      <c r="B29" s="3">
        <v>2117.5300000000002</v>
      </c>
      <c r="C29" s="3">
        <v>2299.73</v>
      </c>
      <c r="D29" s="3">
        <v>2367.73</v>
      </c>
      <c r="E29" s="3">
        <v>2853.99</v>
      </c>
      <c r="F29" s="3">
        <v>1975.61</v>
      </c>
      <c r="G29" s="3">
        <v>1645.81</v>
      </c>
      <c r="H29" s="3">
        <v>2108.7600000000002</v>
      </c>
      <c r="I29" s="3">
        <v>2685.75</v>
      </c>
      <c r="J29" s="3">
        <v>3707.97</v>
      </c>
      <c r="K29" s="3">
        <v>5006.45</v>
      </c>
    </row>
    <row r="30" spans="1:11" x14ac:dyDescent="0.15">
      <c r="A30" s="2" t="s">
        <v>25</v>
      </c>
      <c r="B30" s="3">
        <v>3148.43</v>
      </c>
      <c r="C30" s="3">
        <v>3698.04</v>
      </c>
      <c r="D30" s="3">
        <v>7510.39</v>
      </c>
      <c r="E30" s="3">
        <v>5315.46</v>
      </c>
      <c r="F30" s="3">
        <v>127.04</v>
      </c>
      <c r="G30" s="3">
        <v>1812.49</v>
      </c>
      <c r="H30" s="3">
        <v>6577.32</v>
      </c>
      <c r="I30" s="3">
        <v>10281.5</v>
      </c>
      <c r="J30" s="3">
        <v>11268.64</v>
      </c>
      <c r="K30" s="3">
        <v>12929.1</v>
      </c>
    </row>
    <row r="31" spans="1:11" x14ac:dyDescent="0.15">
      <c r="A31" s="2" t="s">
        <v>26</v>
      </c>
      <c r="B31" s="3">
        <v>648.96</v>
      </c>
      <c r="C31" s="3">
        <v>807.43</v>
      </c>
      <c r="D31" s="3">
        <v>814.7</v>
      </c>
      <c r="E31" s="3">
        <v>924.73</v>
      </c>
      <c r="F31" s="3">
        <v>260.51</v>
      </c>
      <c r="G31" s="3">
        <v>971.51</v>
      </c>
      <c r="H31" s="3">
        <v>1284.5</v>
      </c>
      <c r="I31" s="3">
        <v>1809.66</v>
      </c>
      <c r="J31" s="3">
        <v>2352.14</v>
      </c>
      <c r="K31" s="3">
        <v>2824.24</v>
      </c>
    </row>
    <row r="32" spans="1:11" x14ac:dyDescent="0.15">
      <c r="A32" s="2" t="s">
        <v>27</v>
      </c>
      <c r="B32" s="8">
        <f t="shared" ref="B32:J32" si="0">B29/B28</f>
        <v>0.37332842033628177</v>
      </c>
      <c r="C32" s="8">
        <f t="shared" si="0"/>
        <v>0.36214737664284613</v>
      </c>
      <c r="D32" s="8">
        <f t="shared" si="0"/>
        <v>0.22930854814091686</v>
      </c>
      <c r="E32" s="8">
        <f t="shared" si="0"/>
        <v>0.32172714196175334</v>
      </c>
      <c r="F32" s="8">
        <f t="shared" si="0"/>
        <v>1.1940034207456742</v>
      </c>
      <c r="G32" s="8">
        <f t="shared" si="0"/>
        <v>0.52112279146349183</v>
      </c>
      <c r="H32" s="8">
        <f t="shared" si="0"/>
        <v>0.225252276011908</v>
      </c>
      <c r="I32" s="8">
        <f t="shared" si="0"/>
        <v>0.1910175011361834</v>
      </c>
      <c r="J32" s="8">
        <f t="shared" si="0"/>
        <v>0.2320702675401291</v>
      </c>
      <c r="K32" s="8">
        <f>K29/K28</f>
        <v>0.26239778360365668</v>
      </c>
    </row>
    <row r="34" spans="1:11" x14ac:dyDescent="0.15">
      <c r="A34" s="2" t="s">
        <v>28</v>
      </c>
      <c r="B34" s="2">
        <f t="shared" ref="B34:K34" si="1">+B30+B29+B27+B26</f>
        <v>11075.199999999999</v>
      </c>
      <c r="C34" s="2">
        <f t="shared" si="1"/>
        <v>12458.949999999999</v>
      </c>
      <c r="D34" s="2">
        <f t="shared" si="1"/>
        <v>17145.11</v>
      </c>
      <c r="E34" s="2">
        <f t="shared" si="1"/>
        <v>17181.57</v>
      </c>
      <c r="F34" s="2">
        <f t="shared" si="1"/>
        <v>11490.48</v>
      </c>
      <c r="G34" s="2">
        <f t="shared" si="1"/>
        <v>12938.630000000001</v>
      </c>
      <c r="H34" s="2">
        <f t="shared" si="1"/>
        <v>17211.63</v>
      </c>
      <c r="I34" s="2">
        <f t="shared" si="1"/>
        <v>23153.760000000002</v>
      </c>
      <c r="J34" s="2">
        <f t="shared" si="1"/>
        <v>27188.6</v>
      </c>
      <c r="K34" s="2">
        <f t="shared" si="1"/>
        <v>33092.589999999997</v>
      </c>
    </row>
    <row r="40" spans="1:11" x14ac:dyDescent="0.15">
      <c r="A40" s="1" t="s">
        <v>29</v>
      </c>
    </row>
    <row r="41" spans="1:11" s="6" customFormat="1" x14ac:dyDescent="0.15">
      <c r="A41" s="4" t="s">
        <v>11</v>
      </c>
      <c r="B41" s="5">
        <v>45107</v>
      </c>
      <c r="C41" s="5">
        <v>45199</v>
      </c>
      <c r="D41" s="5">
        <v>45291</v>
      </c>
      <c r="E41" s="5">
        <v>45382</v>
      </c>
      <c r="F41" s="5">
        <v>45473</v>
      </c>
      <c r="G41" s="5">
        <v>45565</v>
      </c>
      <c r="H41" s="5">
        <v>45657</v>
      </c>
      <c r="I41" s="5">
        <v>45747</v>
      </c>
      <c r="J41" s="5">
        <v>45838</v>
      </c>
      <c r="K41" s="5">
        <v>45930</v>
      </c>
    </row>
    <row r="42" spans="1:11" x14ac:dyDescent="0.15">
      <c r="A42" s="2" t="s">
        <v>12</v>
      </c>
      <c r="B42" s="3">
        <v>33891.629999999997</v>
      </c>
      <c r="C42" s="3">
        <v>34435.519999999997</v>
      </c>
      <c r="D42" s="3">
        <v>35299.39</v>
      </c>
      <c r="E42" s="3">
        <v>35451.730000000003</v>
      </c>
      <c r="F42" s="3">
        <v>37217.72</v>
      </c>
      <c r="G42" s="3">
        <v>37923.74</v>
      </c>
      <c r="H42" s="3">
        <v>41470.050000000003</v>
      </c>
      <c r="I42" s="3">
        <v>42599.31</v>
      </c>
      <c r="J42" s="3">
        <v>45529.19</v>
      </c>
      <c r="K42" s="3">
        <v>46105.67</v>
      </c>
    </row>
    <row r="43" spans="1:11" x14ac:dyDescent="0.15">
      <c r="A43" s="2" t="s">
        <v>30</v>
      </c>
      <c r="B43" s="3">
        <v>27642.400000000001</v>
      </c>
      <c r="C43" s="3">
        <v>28705.94</v>
      </c>
      <c r="D43" s="3">
        <v>29075.41</v>
      </c>
      <c r="E43" s="3">
        <v>28847.82</v>
      </c>
      <c r="F43" s="3">
        <v>29974.6</v>
      </c>
      <c r="G43" s="3">
        <v>30790.34</v>
      </c>
      <c r="H43" s="3">
        <v>33239.32</v>
      </c>
      <c r="I43" s="3">
        <v>34688.370000000003</v>
      </c>
      <c r="J43" s="3">
        <v>37301.39</v>
      </c>
      <c r="K43" s="3">
        <v>37176.58</v>
      </c>
    </row>
    <row r="44" spans="1:11" x14ac:dyDescent="0.15">
      <c r="A44" s="2" t="s">
        <v>20</v>
      </c>
      <c r="B44" s="3">
        <v>1065</v>
      </c>
      <c r="C44" s="3">
        <v>811.95</v>
      </c>
      <c r="D44" s="3">
        <v>755.69</v>
      </c>
      <c r="E44" s="3">
        <v>750.44</v>
      </c>
      <c r="F44" s="3">
        <v>733.21</v>
      </c>
      <c r="G44" s="3">
        <v>1125.57</v>
      </c>
      <c r="H44" s="3">
        <v>718.59</v>
      </c>
      <c r="I44" s="3">
        <v>1141.0999999999999</v>
      </c>
      <c r="J44" s="3">
        <v>1395.06</v>
      </c>
      <c r="K44" s="3">
        <v>1144.76</v>
      </c>
    </row>
    <row r="45" spans="1:11" x14ac:dyDescent="0.15">
      <c r="A45" s="2" t="s">
        <v>21</v>
      </c>
      <c r="B45" s="3">
        <v>1127.5</v>
      </c>
      <c r="C45" s="3">
        <v>1138.6400000000001</v>
      </c>
      <c r="D45" s="3">
        <v>1122.5899999999999</v>
      </c>
      <c r="E45" s="3">
        <v>1335.05</v>
      </c>
      <c r="F45" s="3">
        <v>1247.77</v>
      </c>
      <c r="G45" s="3">
        <v>1301.99</v>
      </c>
      <c r="H45" s="3">
        <v>1495.17</v>
      </c>
      <c r="I45" s="3">
        <v>2028.72</v>
      </c>
      <c r="J45" s="3">
        <v>1547.56</v>
      </c>
      <c r="K45" s="3">
        <v>1668.89</v>
      </c>
    </row>
    <row r="46" spans="1:11" ht="15" x14ac:dyDescent="0.2">
      <c r="A46" s="2" t="s">
        <v>22</v>
      </c>
      <c r="B46" s="7">
        <v>1718.84</v>
      </c>
      <c r="C46" s="7">
        <v>1835.19</v>
      </c>
      <c r="D46" s="7">
        <v>1944.88</v>
      </c>
      <c r="E46" s="7">
        <v>1989.3</v>
      </c>
      <c r="F46" s="7">
        <v>2107.69</v>
      </c>
      <c r="G46" s="7">
        <v>2217.02</v>
      </c>
      <c r="H46" s="7">
        <v>2362.16</v>
      </c>
      <c r="I46" s="7">
        <v>2396.52</v>
      </c>
      <c r="J46" s="7">
        <v>2431.19</v>
      </c>
      <c r="K46" s="7">
        <v>2347.0300000000002</v>
      </c>
    </row>
    <row r="47" spans="1:11" x14ac:dyDescent="0.15">
      <c r="A47" s="2" t="s">
        <v>23</v>
      </c>
      <c r="B47" s="3">
        <v>4467.8900000000003</v>
      </c>
      <c r="C47" s="3">
        <v>3567.7</v>
      </c>
      <c r="D47" s="3">
        <v>3912.2</v>
      </c>
      <c r="E47" s="3">
        <v>4030</v>
      </c>
      <c r="F47" s="3">
        <v>4620.87</v>
      </c>
      <c r="G47" s="3">
        <v>4739.96</v>
      </c>
      <c r="H47" s="3">
        <v>5091.99</v>
      </c>
      <c r="I47" s="3">
        <v>4626.8</v>
      </c>
      <c r="J47" s="3">
        <v>5644.11</v>
      </c>
      <c r="K47" s="3">
        <v>6057.93</v>
      </c>
    </row>
    <row r="48" spans="1:11" x14ac:dyDescent="0.15">
      <c r="A48" s="2" t="s">
        <v>24</v>
      </c>
      <c r="B48" s="3">
        <v>784.02</v>
      </c>
      <c r="C48" s="3">
        <v>1083.73</v>
      </c>
      <c r="D48" s="3">
        <v>935.16</v>
      </c>
      <c r="E48" s="3">
        <v>905.06</v>
      </c>
      <c r="F48" s="3">
        <v>1075.0899999999999</v>
      </c>
      <c r="G48" s="3">
        <v>1378.9</v>
      </c>
      <c r="H48" s="3">
        <v>1467.51</v>
      </c>
      <c r="I48" s="3">
        <v>1084.95</v>
      </c>
      <c r="J48" s="3">
        <v>1267.53</v>
      </c>
      <c r="K48" s="3">
        <v>2094.1799999999998</v>
      </c>
    </row>
    <row r="49" spans="1:11" x14ac:dyDescent="0.15">
      <c r="A49" s="2" t="s">
        <v>25</v>
      </c>
      <c r="B49" s="3">
        <v>3508.41</v>
      </c>
      <c r="C49" s="3">
        <v>2347.75</v>
      </c>
      <c r="D49" s="3">
        <v>2658.4</v>
      </c>
      <c r="E49" s="3">
        <v>2754.08</v>
      </c>
      <c r="F49" s="3">
        <v>3282.63</v>
      </c>
      <c r="G49" s="3">
        <v>3170.72</v>
      </c>
      <c r="H49" s="3">
        <v>3180.58</v>
      </c>
      <c r="I49" s="3">
        <v>3295.17</v>
      </c>
      <c r="J49" s="3">
        <v>4083.32</v>
      </c>
      <c r="K49" s="3">
        <v>3673.32</v>
      </c>
    </row>
    <row r="50" spans="1:11" x14ac:dyDescent="0.15">
      <c r="A50" s="2" t="s">
        <v>31</v>
      </c>
      <c r="B50" s="3">
        <v>6249.23</v>
      </c>
      <c r="C50" s="3">
        <v>5729.58</v>
      </c>
      <c r="D50" s="3">
        <v>6223.98</v>
      </c>
      <c r="E50" s="3">
        <v>6603.91</v>
      </c>
      <c r="F50" s="3">
        <v>7243.12</v>
      </c>
      <c r="G50" s="3">
        <v>7133.4</v>
      </c>
      <c r="H50" s="3">
        <v>8230.73</v>
      </c>
      <c r="I50" s="3">
        <v>7910.94</v>
      </c>
      <c r="J50" s="3">
        <v>8227.7999999999993</v>
      </c>
      <c r="K50" s="3">
        <v>8929.09</v>
      </c>
    </row>
    <row r="51" spans="1:11" x14ac:dyDescent="0.15">
      <c r="A51" s="2" t="s">
        <v>28</v>
      </c>
      <c r="B51" s="2">
        <f t="shared" ref="B51:K51" si="2">B49+B48+B46+B45</f>
        <v>7138.77</v>
      </c>
      <c r="C51" s="2">
        <f t="shared" si="2"/>
        <v>6405.31</v>
      </c>
      <c r="D51" s="2">
        <f t="shared" si="2"/>
        <v>6661.0300000000007</v>
      </c>
      <c r="E51" s="2">
        <f t="shared" si="2"/>
        <v>6983.49</v>
      </c>
      <c r="F51" s="2">
        <f t="shared" si="2"/>
        <v>7713.18</v>
      </c>
      <c r="G51" s="2">
        <f t="shared" si="2"/>
        <v>8068.6299999999992</v>
      </c>
      <c r="H51" s="2">
        <f t="shared" si="2"/>
        <v>8505.42</v>
      </c>
      <c r="I51" s="2">
        <f t="shared" si="2"/>
        <v>8805.3599999999988</v>
      </c>
      <c r="J51" s="2">
        <f t="shared" si="2"/>
        <v>9329.6</v>
      </c>
      <c r="K51" s="2">
        <f t="shared" si="2"/>
        <v>9783.42</v>
      </c>
    </row>
    <row r="55" spans="1:11" x14ac:dyDescent="0.15">
      <c r="A55" s="1" t="s">
        <v>32</v>
      </c>
    </row>
    <row r="56" spans="1:11" s="6" customFormat="1" x14ac:dyDescent="0.15">
      <c r="A56" s="4" t="s">
        <v>11</v>
      </c>
      <c r="B56" s="5">
        <v>42460</v>
      </c>
      <c r="C56" s="5">
        <v>42825</v>
      </c>
      <c r="D56" s="5">
        <v>43190</v>
      </c>
      <c r="E56" s="5">
        <v>43555</v>
      </c>
      <c r="F56" s="5">
        <v>43921</v>
      </c>
      <c r="G56" s="5">
        <v>44286</v>
      </c>
      <c r="H56" s="5">
        <v>44651</v>
      </c>
      <c r="I56" s="5">
        <v>45016</v>
      </c>
      <c r="J56" s="5">
        <v>45382</v>
      </c>
      <c r="K56" s="5">
        <v>45747</v>
      </c>
    </row>
    <row r="57" spans="1:11" x14ac:dyDescent="0.15">
      <c r="A57" s="2" t="s">
        <v>33</v>
      </c>
      <c r="B57" s="3">
        <v>270.39999999999998</v>
      </c>
      <c r="C57" s="3">
        <v>310.55</v>
      </c>
      <c r="D57" s="3">
        <v>543.13</v>
      </c>
      <c r="E57" s="3">
        <v>543.96</v>
      </c>
      <c r="F57" s="3">
        <v>554.28</v>
      </c>
      <c r="G57" s="3">
        <v>555.15</v>
      </c>
      <c r="H57" s="3">
        <v>556.05999999999995</v>
      </c>
      <c r="I57" s="3">
        <v>556.82000000000005</v>
      </c>
      <c r="J57" s="3">
        <v>557.38</v>
      </c>
      <c r="K57" s="3">
        <v>558.15</v>
      </c>
    </row>
    <row r="58" spans="1:11" x14ac:dyDescent="0.15">
      <c r="A58" s="2" t="s">
        <v>34</v>
      </c>
      <c r="B58" s="3">
        <v>26222.25</v>
      </c>
      <c r="C58" s="3">
        <v>29467.1</v>
      </c>
      <c r="D58" s="3">
        <v>36232.06</v>
      </c>
      <c r="E58" s="3">
        <v>39439.449999999997</v>
      </c>
      <c r="F58" s="3">
        <v>39415.03</v>
      </c>
      <c r="G58" s="3">
        <v>41026.769999999997</v>
      </c>
      <c r="H58" s="3">
        <v>46566.58</v>
      </c>
      <c r="I58" s="3">
        <v>55808.97</v>
      </c>
      <c r="J58" s="3">
        <v>65633.17</v>
      </c>
      <c r="K58" s="3">
        <v>76480.710000000006</v>
      </c>
    </row>
    <row r="59" spans="1:11" ht="15" x14ac:dyDescent="0.2">
      <c r="A59" s="2" t="s">
        <v>35</v>
      </c>
      <c r="B59" s="7">
        <v>41552.93</v>
      </c>
      <c r="C59" s="7">
        <v>48761.91</v>
      </c>
      <c r="D59" s="7">
        <v>55897.919999999998</v>
      </c>
      <c r="E59" s="7">
        <v>70848.3</v>
      </c>
      <c r="F59" s="7">
        <v>82092.28</v>
      </c>
      <c r="G59" s="7">
        <v>80624.83</v>
      </c>
      <c r="H59" s="7">
        <v>77605.210000000006</v>
      </c>
      <c r="I59" s="7">
        <v>92246.85</v>
      </c>
      <c r="J59" s="7">
        <v>108647.25</v>
      </c>
      <c r="K59" s="7">
        <v>129024.58</v>
      </c>
    </row>
    <row r="60" spans="1:11" x14ac:dyDescent="0.15">
      <c r="A60" s="2" t="s">
        <v>36</v>
      </c>
      <c r="B60" s="3">
        <v>31806.240000000002</v>
      </c>
      <c r="C60" s="3">
        <v>35295.919999999998</v>
      </c>
      <c r="D60" s="3">
        <v>43696.2</v>
      </c>
      <c r="E60" s="3">
        <v>51056.95</v>
      </c>
      <c r="F60" s="3">
        <v>43654.54</v>
      </c>
      <c r="G60" s="3">
        <v>42761.58</v>
      </c>
      <c r="H60" s="3">
        <v>47660.639999999999</v>
      </c>
      <c r="I60" s="3">
        <v>55670.49</v>
      </c>
      <c r="J60" s="3">
        <v>59883.94</v>
      </c>
      <c r="K60" s="3">
        <v>69949.72</v>
      </c>
    </row>
    <row r="61" spans="1:11" s="1" customFormat="1" x14ac:dyDescent="0.15">
      <c r="A61" s="1" t="s">
        <v>37</v>
      </c>
      <c r="B61" s="3">
        <v>99851.82</v>
      </c>
      <c r="C61" s="3">
        <v>113835.48</v>
      </c>
      <c r="D61" s="3">
        <v>136369.31</v>
      </c>
      <c r="E61" s="3">
        <v>161888.66</v>
      </c>
      <c r="F61" s="3">
        <v>165716.13</v>
      </c>
      <c r="G61" s="3">
        <v>164968.32999999999</v>
      </c>
      <c r="H61" s="3">
        <v>172388.49</v>
      </c>
      <c r="I61" s="3">
        <v>204283.13</v>
      </c>
      <c r="J61" s="3">
        <v>234721.74</v>
      </c>
      <c r="K61" s="3">
        <v>276013.15999999997</v>
      </c>
    </row>
    <row r="62" spans="1:11" x14ac:dyDescent="0.15">
      <c r="A62" s="2" t="s">
        <v>38</v>
      </c>
      <c r="B62" s="3">
        <v>20584.71</v>
      </c>
      <c r="C62" s="3">
        <v>20989.01</v>
      </c>
      <c r="D62" s="3">
        <v>26181.9</v>
      </c>
      <c r="E62" s="3">
        <v>28982.74</v>
      </c>
      <c r="F62" s="3">
        <v>29689.27</v>
      </c>
      <c r="G62" s="3">
        <v>21379.68</v>
      </c>
      <c r="H62" s="3">
        <v>26018.49</v>
      </c>
      <c r="I62" s="3">
        <v>27139.98</v>
      </c>
      <c r="J62" s="3">
        <v>28129.41</v>
      </c>
      <c r="K62" s="3">
        <v>34636.36</v>
      </c>
    </row>
    <row r="63" spans="1:11" x14ac:dyDescent="0.15">
      <c r="A63" s="2" t="s">
        <v>39</v>
      </c>
      <c r="B63" s="3">
        <v>2371.35</v>
      </c>
      <c r="C63" s="3">
        <v>4278.9399999999996</v>
      </c>
      <c r="D63" s="3">
        <v>4269.47</v>
      </c>
      <c r="E63" s="3">
        <v>4759.84</v>
      </c>
      <c r="F63" s="3">
        <v>6856.48</v>
      </c>
      <c r="G63" s="3">
        <v>7872.61</v>
      </c>
      <c r="H63" s="3">
        <v>6702.81</v>
      </c>
      <c r="I63" s="3">
        <v>3968.58</v>
      </c>
      <c r="J63" s="3">
        <v>8039.3</v>
      </c>
      <c r="K63" s="3">
        <v>8297.64</v>
      </c>
    </row>
    <row r="64" spans="1:11" ht="15" x14ac:dyDescent="0.2">
      <c r="A64" s="2" t="s">
        <v>40</v>
      </c>
      <c r="B64" s="3">
        <v>11602.58</v>
      </c>
      <c r="C64" s="7">
        <v>14662.44</v>
      </c>
      <c r="D64" s="3">
        <v>16017.61</v>
      </c>
      <c r="E64" s="3">
        <v>18268.099999999999</v>
      </c>
      <c r="F64" s="3">
        <v>19210.34</v>
      </c>
      <c r="G64" s="3">
        <v>28777.66</v>
      </c>
      <c r="H64" s="3">
        <v>30060.43</v>
      </c>
      <c r="I64" s="3">
        <v>35272.42</v>
      </c>
      <c r="J64" s="3">
        <v>35208.1</v>
      </c>
      <c r="K64" s="3">
        <v>41308.57</v>
      </c>
    </row>
    <row r="65" spans="1:11" x14ac:dyDescent="0.15">
      <c r="A65" s="2" t="s">
        <v>41</v>
      </c>
      <c r="B65" s="3">
        <v>65293.18</v>
      </c>
      <c r="C65" s="3">
        <v>73905.09</v>
      </c>
      <c r="D65" s="3">
        <v>89900.33</v>
      </c>
      <c r="E65" s="3">
        <v>109877.98</v>
      </c>
      <c r="F65" s="3">
        <v>109960.04</v>
      </c>
      <c r="G65" s="3">
        <v>106938.38</v>
      </c>
      <c r="H65" s="3">
        <v>109606.76</v>
      </c>
      <c r="I65" s="3">
        <v>137902.15</v>
      </c>
      <c r="J65" s="3">
        <v>163344.93</v>
      </c>
      <c r="K65" s="3">
        <v>191770.59</v>
      </c>
    </row>
    <row r="66" spans="1:11" s="1" customFormat="1" x14ac:dyDescent="0.15">
      <c r="A66" s="1" t="s">
        <v>37</v>
      </c>
      <c r="B66" s="3">
        <v>99851.82</v>
      </c>
      <c r="C66" s="3">
        <v>113835.48</v>
      </c>
      <c r="D66" s="3">
        <v>136369.31</v>
      </c>
      <c r="E66" s="3">
        <v>161888.66</v>
      </c>
      <c r="F66" s="3">
        <v>165716.13</v>
      </c>
      <c r="G66" s="3">
        <v>164968.32999999999</v>
      </c>
      <c r="H66" s="3">
        <v>172388.49</v>
      </c>
      <c r="I66" s="3">
        <v>204283.13</v>
      </c>
      <c r="J66" s="3">
        <v>234721.74</v>
      </c>
      <c r="K66" s="3">
        <v>276013.15999999997</v>
      </c>
    </row>
    <row r="67" spans="1:11" x14ac:dyDescent="0.15">
      <c r="A67" s="2" t="s">
        <v>42</v>
      </c>
      <c r="B67" s="3">
        <v>5817.6</v>
      </c>
      <c r="C67" s="3">
        <v>7199.26</v>
      </c>
      <c r="D67" s="3">
        <v>8489.82</v>
      </c>
      <c r="E67" s="3">
        <v>8677.89</v>
      </c>
      <c r="F67" s="3">
        <v>6928.28</v>
      </c>
      <c r="G67" s="3">
        <v>6007.76</v>
      </c>
      <c r="H67" s="3">
        <v>6373.95</v>
      </c>
      <c r="I67" s="3">
        <v>7028.02</v>
      </c>
      <c r="J67" s="3">
        <v>7459.4</v>
      </c>
      <c r="K67" s="3">
        <v>8279.7000000000007</v>
      </c>
    </row>
    <row r="68" spans="1:11" ht="15" x14ac:dyDescent="0.2">
      <c r="A68" s="2" t="s">
        <v>43</v>
      </c>
      <c r="B68" s="7">
        <v>9116.1200000000008</v>
      </c>
      <c r="C68" s="7">
        <v>8886.01</v>
      </c>
      <c r="D68" s="7">
        <v>9335.57</v>
      </c>
      <c r="E68" s="7">
        <v>12200.16</v>
      </c>
      <c r="F68" s="7">
        <v>11111.86</v>
      </c>
      <c r="G68" s="7">
        <v>9615.41</v>
      </c>
      <c r="H68" s="7">
        <v>11595.82</v>
      </c>
      <c r="I68" s="7">
        <v>16854.97</v>
      </c>
      <c r="J68" s="7">
        <v>18590.47</v>
      </c>
      <c r="K68" s="7">
        <v>20330.93</v>
      </c>
    </row>
    <row r="69" spans="1:11" x14ac:dyDescent="0.15">
      <c r="A69" s="2" t="s">
        <v>44</v>
      </c>
      <c r="B69" s="3">
        <v>4527.55</v>
      </c>
      <c r="C69" s="3">
        <v>4654.03</v>
      </c>
      <c r="D69" s="3">
        <v>6547.6</v>
      </c>
      <c r="E69" s="3">
        <v>8734.91</v>
      </c>
      <c r="F69" s="3">
        <v>7910.9</v>
      </c>
      <c r="G69" s="3">
        <v>12851.99</v>
      </c>
      <c r="H69" s="3">
        <v>11117.61</v>
      </c>
      <c r="I69" s="3">
        <v>11273.43</v>
      </c>
      <c r="J69" s="3">
        <v>12012.75</v>
      </c>
      <c r="K69" s="3">
        <v>20614.84</v>
      </c>
    </row>
    <row r="70" spans="1:11" x14ac:dyDescent="0.15">
      <c r="A70" s="2" t="s">
        <v>45</v>
      </c>
      <c r="B70" s="3">
        <v>592633807</v>
      </c>
      <c r="C70" s="3">
        <v>621092384</v>
      </c>
      <c r="D70" s="3">
        <v>1243192544</v>
      </c>
      <c r="E70" s="3">
        <v>1243192544</v>
      </c>
      <c r="F70" s="3">
        <v>1243192544</v>
      </c>
      <c r="G70" s="3">
        <v>1110297953</v>
      </c>
      <c r="H70" s="3">
        <v>1112130815</v>
      </c>
      <c r="I70" s="3">
        <v>1198118224</v>
      </c>
      <c r="J70" s="3">
        <v>1114775772</v>
      </c>
      <c r="K70" s="3">
        <v>1116313361</v>
      </c>
    </row>
    <row r="71" spans="1:11" ht="14" x14ac:dyDescent="0.15">
      <c r="A71" s="2" t="s">
        <v>46</v>
      </c>
      <c r="B71" s="9"/>
      <c r="C71" s="9"/>
      <c r="D71">
        <v>621596272</v>
      </c>
      <c r="G71" s="9"/>
      <c r="H71" s="9"/>
    </row>
    <row r="72" spans="1:11" x14ac:dyDescent="0.15">
      <c r="A72" s="2" t="s">
        <v>47</v>
      </c>
      <c r="B72" s="3">
        <v>5</v>
      </c>
      <c r="C72" s="3">
        <v>5</v>
      </c>
      <c r="D72" s="3">
        <v>5</v>
      </c>
      <c r="E72" s="3">
        <v>5</v>
      </c>
      <c r="F72" s="3">
        <v>5</v>
      </c>
      <c r="G72" s="3">
        <v>5</v>
      </c>
      <c r="H72" s="3">
        <v>5</v>
      </c>
      <c r="I72" s="3">
        <v>5</v>
      </c>
      <c r="J72" s="3">
        <v>5</v>
      </c>
      <c r="K72" s="3">
        <v>5</v>
      </c>
    </row>
    <row r="73" spans="1:11" x14ac:dyDescent="0.15">
      <c r="H73" s="2">
        <f>H62-G62+H45</f>
        <v>6133.9800000000014</v>
      </c>
      <c r="I73" s="2">
        <f>I62-H62+I45</f>
        <v>3150.2099999999982</v>
      </c>
      <c r="J73" s="2">
        <f>J62-I62+J45</f>
        <v>2536.9900000000002</v>
      </c>
      <c r="K73" s="2">
        <f>K62-J62+K45</f>
        <v>8175.8400000000011</v>
      </c>
    </row>
    <row r="80" spans="1:11" x14ac:dyDescent="0.15">
      <c r="A80" s="1" t="s">
        <v>48</v>
      </c>
    </row>
    <row r="81" spans="1:12" s="6" customFormat="1" x14ac:dyDescent="0.15">
      <c r="A81" s="4" t="s">
        <v>11</v>
      </c>
      <c r="B81" s="5">
        <v>42460</v>
      </c>
      <c r="C81" s="5">
        <v>42825</v>
      </c>
      <c r="D81" s="5">
        <v>43190</v>
      </c>
      <c r="E81" s="5">
        <v>43555</v>
      </c>
      <c r="F81" s="5">
        <v>43921</v>
      </c>
      <c r="G81" s="5">
        <v>44286</v>
      </c>
      <c r="H81" s="5">
        <v>44651</v>
      </c>
      <c r="I81" s="5">
        <v>45016</v>
      </c>
      <c r="J81" s="5">
        <v>45382</v>
      </c>
      <c r="K81" s="5">
        <v>45747</v>
      </c>
      <c r="L81" s="5"/>
    </row>
    <row r="82" spans="1:12" s="1" customFormat="1" x14ac:dyDescent="0.15">
      <c r="A82" s="2" t="s">
        <v>49</v>
      </c>
      <c r="B82" s="3">
        <v>2384.7600000000002</v>
      </c>
      <c r="C82" s="3">
        <v>183.09</v>
      </c>
      <c r="D82" s="3">
        <v>681.86</v>
      </c>
      <c r="E82" s="3">
        <v>-4347.29</v>
      </c>
      <c r="F82" s="3">
        <v>-1456.93</v>
      </c>
      <c r="G82" s="3">
        <v>17908.830000000002</v>
      </c>
      <c r="H82" s="3">
        <v>9247.5499999999993</v>
      </c>
      <c r="I82" s="3">
        <v>-7074.02</v>
      </c>
      <c r="J82" s="3">
        <v>-5629.95</v>
      </c>
      <c r="K82" s="3">
        <v>3175.81</v>
      </c>
    </row>
    <row r="83" spans="1:12" x14ac:dyDescent="0.15">
      <c r="A83" s="2" t="s">
        <v>50</v>
      </c>
      <c r="B83" s="3">
        <v>-5505.97</v>
      </c>
      <c r="C83" s="3">
        <v>-5875.29</v>
      </c>
      <c r="D83" s="3">
        <v>-5467.22</v>
      </c>
      <c r="E83" s="3">
        <v>-7173.97</v>
      </c>
      <c r="F83" s="3">
        <v>-6869.79</v>
      </c>
      <c r="G83" s="3">
        <v>-19685.5</v>
      </c>
      <c r="H83" s="3">
        <v>-3251.95</v>
      </c>
      <c r="I83" s="3">
        <v>-8866.27</v>
      </c>
      <c r="J83" s="3">
        <v>-5614.77</v>
      </c>
      <c r="K83" s="3">
        <v>-18616.13</v>
      </c>
    </row>
    <row r="84" spans="1:12" x14ac:dyDescent="0.15">
      <c r="A84" s="2" t="s">
        <v>51</v>
      </c>
      <c r="B84" s="3">
        <v>2966.81</v>
      </c>
      <c r="C84" s="3">
        <v>6107.97</v>
      </c>
      <c r="D84" s="3">
        <v>6314.5</v>
      </c>
      <c r="E84" s="3">
        <v>13193.63</v>
      </c>
      <c r="F84" s="3">
        <v>6932.75</v>
      </c>
      <c r="G84" s="3">
        <v>406.23</v>
      </c>
      <c r="H84" s="3">
        <v>-5882.6</v>
      </c>
      <c r="I84" s="3">
        <v>15946.11</v>
      </c>
      <c r="J84" s="3">
        <v>12281.41</v>
      </c>
      <c r="K84" s="3">
        <v>15834.11</v>
      </c>
    </row>
    <row r="85" spans="1:12" s="1" customFormat="1" x14ac:dyDescent="0.15">
      <c r="A85" s="2" t="s">
        <v>52</v>
      </c>
      <c r="B85" s="3">
        <v>-154.4</v>
      </c>
      <c r="C85" s="3">
        <v>415.77</v>
      </c>
      <c r="D85" s="3">
        <v>1529.14</v>
      </c>
      <c r="E85" s="3">
        <v>1672.37</v>
      </c>
      <c r="F85" s="3">
        <v>-1393.97</v>
      </c>
      <c r="G85" s="3">
        <v>-1370.44</v>
      </c>
      <c r="H85" s="3">
        <v>113</v>
      </c>
      <c r="I85" s="3">
        <v>5.82</v>
      </c>
      <c r="J85" s="3">
        <v>1036.69</v>
      </c>
      <c r="K85" s="3">
        <v>393.79</v>
      </c>
    </row>
    <row r="90" spans="1:12" s="1" customFormat="1" x14ac:dyDescent="0.15">
      <c r="A90" s="1" t="s">
        <v>53</v>
      </c>
      <c r="B90" s="3">
        <v>605.35</v>
      </c>
      <c r="C90" s="3">
        <v>643.45000000000005</v>
      </c>
      <c r="D90" s="3">
        <v>738.9</v>
      </c>
      <c r="E90" s="3">
        <v>673.9</v>
      </c>
      <c r="F90" s="3">
        <v>284.95</v>
      </c>
      <c r="G90" s="3">
        <v>795.25</v>
      </c>
      <c r="H90" s="3">
        <v>806.55</v>
      </c>
      <c r="I90" s="3">
        <v>1158.7</v>
      </c>
      <c r="J90" s="3">
        <v>1921.35</v>
      </c>
      <c r="K90" s="3">
        <v>2665.8</v>
      </c>
    </row>
    <row r="92" spans="1:12" s="1" customFormat="1" x14ac:dyDescent="0.15">
      <c r="A92" s="1" t="s">
        <v>54</v>
      </c>
    </row>
    <row r="93" spans="1:12" x14ac:dyDescent="0.15">
      <c r="A93" s="2" t="s">
        <v>55</v>
      </c>
      <c r="B93" s="10">
        <v>124.22</v>
      </c>
      <c r="C93" s="10">
        <v>124.22</v>
      </c>
      <c r="D93" s="10">
        <v>124.32</v>
      </c>
      <c r="E93" s="10">
        <v>124.32</v>
      </c>
      <c r="F93" s="10">
        <v>124.32</v>
      </c>
      <c r="G93" s="10">
        <v>124.32</v>
      </c>
      <c r="H93" s="10">
        <v>124.32</v>
      </c>
      <c r="I93" s="10">
        <v>124.35</v>
      </c>
      <c r="J93" s="10">
        <v>124.35</v>
      </c>
      <c r="K93" s="10">
        <v>124.35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6D2D44B2-F82B-D248-941A-6E170CBDB65A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0B623-20FC-DA44-B3ED-340AACA7AE22}">
  <sheetPr>
    <tabColor rgb="FFFF0000"/>
  </sheetPr>
  <dimension ref="B2:N42"/>
  <sheetViews>
    <sheetView showGridLines="0" zoomScale="140" zoomScaleNormal="140" workbookViewId="0">
      <selection activeCell="H29" sqref="H29"/>
    </sheetView>
  </sheetViews>
  <sheetFormatPr baseColWidth="10" defaultRowHeight="14" x14ac:dyDescent="0.15"/>
  <cols>
    <col min="1" max="1" width="2" customWidth="1"/>
    <col min="2" max="2" width="25" bestFit="1" customWidth="1"/>
  </cols>
  <sheetData>
    <row r="2" spans="2:14" x14ac:dyDescent="0.15">
      <c r="B2" t="s">
        <v>101</v>
      </c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2:14" x14ac:dyDescent="0.15">
      <c r="C3" s="45">
        <v>41699</v>
      </c>
      <c r="D3" s="45">
        <v>42064</v>
      </c>
      <c r="E3" s="45">
        <v>42430</v>
      </c>
      <c r="F3" s="45">
        <v>42795</v>
      </c>
      <c r="G3" s="45">
        <v>43160</v>
      </c>
      <c r="H3" s="45">
        <v>43525</v>
      </c>
      <c r="I3" s="45">
        <v>43891</v>
      </c>
      <c r="J3" s="45">
        <v>44256</v>
      </c>
      <c r="K3" s="45">
        <v>44621</v>
      </c>
      <c r="L3" s="45">
        <v>44986</v>
      </c>
      <c r="M3" s="45">
        <v>45352</v>
      </c>
      <c r="N3" s="45">
        <v>45717</v>
      </c>
    </row>
    <row r="5" spans="2:14" x14ac:dyDescent="0.15">
      <c r="B5" t="s">
        <v>76</v>
      </c>
      <c r="C5" s="43">
        <v>8086</v>
      </c>
      <c r="D5" s="43">
        <v>6454</v>
      </c>
      <c r="E5" s="43">
        <v>7595</v>
      </c>
      <c r="F5" s="43">
        <v>7911</v>
      </c>
      <c r="G5" s="43">
        <v>10159</v>
      </c>
      <c r="H5" s="43">
        <v>11112</v>
      </c>
      <c r="I5" s="43">
        <v>7774</v>
      </c>
      <c r="J5" s="43">
        <v>7588</v>
      </c>
      <c r="K5" s="43">
        <v>10515</v>
      </c>
      <c r="L5" s="43">
        <v>15642</v>
      </c>
      <c r="M5" s="43">
        <v>17541</v>
      </c>
      <c r="N5" s="43">
        <v>22050</v>
      </c>
    </row>
    <row r="6" spans="2:14" x14ac:dyDescent="0.15">
      <c r="B6" t="s">
        <v>42</v>
      </c>
      <c r="C6" s="43">
        <v>-2258</v>
      </c>
      <c r="D6">
        <v>-575</v>
      </c>
      <c r="E6">
        <v>177</v>
      </c>
      <c r="F6" s="43">
        <v>-8609</v>
      </c>
      <c r="G6" s="43">
        <v>-11918</v>
      </c>
      <c r="H6" s="43">
        <v>-13712</v>
      </c>
      <c r="I6" s="43">
        <v>-1516</v>
      </c>
      <c r="J6" s="43">
        <v>4896</v>
      </c>
      <c r="K6" s="43">
        <v>-2506</v>
      </c>
      <c r="L6" s="43">
        <v>-21702</v>
      </c>
      <c r="M6" s="43">
        <v>-21777</v>
      </c>
      <c r="N6" s="43">
        <v>-20952</v>
      </c>
    </row>
    <row r="7" spans="2:14" x14ac:dyDescent="0.15">
      <c r="B7" t="s">
        <v>43</v>
      </c>
      <c r="C7">
        <v>-78</v>
      </c>
      <c r="D7">
        <v>-62</v>
      </c>
      <c r="E7" s="43">
        <v>-1113</v>
      </c>
      <c r="F7">
        <v>241</v>
      </c>
      <c r="G7">
        <v>-256</v>
      </c>
      <c r="H7" s="43">
        <v>-2276</v>
      </c>
      <c r="I7" s="43">
        <v>1316</v>
      </c>
      <c r="J7">
        <v>226</v>
      </c>
      <c r="K7" s="43">
        <v>-2173</v>
      </c>
      <c r="L7" s="43">
        <v>-5252</v>
      </c>
      <c r="M7" s="43">
        <v>-1753</v>
      </c>
      <c r="N7" s="43">
        <v>-1646</v>
      </c>
    </row>
    <row r="8" spans="2:14" x14ac:dyDescent="0.15">
      <c r="B8" t="s">
        <v>77</v>
      </c>
      <c r="C8" s="43">
        <v>1094</v>
      </c>
      <c r="D8" s="43">
        <v>1169</v>
      </c>
      <c r="E8" s="43">
        <v>1939</v>
      </c>
      <c r="F8" s="43">
        <v>2645</v>
      </c>
      <c r="G8" s="43">
        <v>5361</v>
      </c>
      <c r="H8" s="43">
        <v>3466</v>
      </c>
      <c r="I8" s="43">
        <v>-6775</v>
      </c>
      <c r="J8" s="43">
        <v>7049</v>
      </c>
      <c r="K8" s="43">
        <v>4972</v>
      </c>
      <c r="L8" s="43">
        <v>7013</v>
      </c>
      <c r="M8" s="43">
        <v>4354</v>
      </c>
      <c r="N8" s="43">
        <v>8485</v>
      </c>
    </row>
    <row r="9" spans="2:14" x14ac:dyDescent="0.15">
      <c r="B9" t="s">
        <v>78</v>
      </c>
      <c r="C9" s="43">
        <v>-5814</v>
      </c>
      <c r="D9" s="43">
        <v>-4229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2:14" x14ac:dyDescent="0.15">
      <c r="B10" t="s">
        <v>79</v>
      </c>
      <c r="C10">
        <v>0</v>
      </c>
      <c r="D10">
        <v>0</v>
      </c>
      <c r="E10" s="43">
        <v>-4241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2:14" x14ac:dyDescent="0.15">
      <c r="B11" t="s">
        <v>80</v>
      </c>
      <c r="C11" s="43">
        <v>-7055</v>
      </c>
      <c r="D11" s="43">
        <v>-3698</v>
      </c>
      <c r="E11" s="43">
        <v>-3238</v>
      </c>
      <c r="F11" s="43">
        <v>-5724</v>
      </c>
      <c r="G11" s="43">
        <v>-6813</v>
      </c>
      <c r="H11" s="43">
        <v>-12522</v>
      </c>
      <c r="I11" s="43">
        <v>-6974</v>
      </c>
      <c r="J11" s="43">
        <v>12171</v>
      </c>
      <c r="K11">
        <v>293</v>
      </c>
      <c r="L11" s="43">
        <v>-19941</v>
      </c>
      <c r="M11" s="43">
        <v>-19175</v>
      </c>
      <c r="N11" s="43">
        <v>-14113</v>
      </c>
    </row>
    <row r="12" spans="2:14" x14ac:dyDescent="0.15">
      <c r="B12" t="s">
        <v>81</v>
      </c>
      <c r="C12" s="43">
        <v>-1275</v>
      </c>
      <c r="D12" s="43">
        <v>-1701</v>
      </c>
      <c r="E12" s="43">
        <v>-1973</v>
      </c>
      <c r="F12" s="43">
        <v>-2005</v>
      </c>
      <c r="G12" s="43">
        <v>-2664</v>
      </c>
      <c r="H12" s="43">
        <v>-2937</v>
      </c>
      <c r="I12" s="43">
        <v>-2257</v>
      </c>
      <c r="J12" s="43">
        <v>-1850</v>
      </c>
      <c r="K12" s="43">
        <v>-1560</v>
      </c>
      <c r="L12" s="43">
        <v>-2775</v>
      </c>
      <c r="M12" s="43">
        <v>-3996</v>
      </c>
      <c r="N12" s="43">
        <v>-4761</v>
      </c>
    </row>
    <row r="13" spans="2:14" x14ac:dyDescent="0.15">
      <c r="B13" s="21" t="s">
        <v>102</v>
      </c>
      <c r="C13" s="21">
        <v>-244</v>
      </c>
      <c r="D13" s="46">
        <v>1055</v>
      </c>
      <c r="E13" s="46">
        <v>2385</v>
      </c>
      <c r="F13" s="21">
        <v>183</v>
      </c>
      <c r="G13" s="21">
        <v>682</v>
      </c>
      <c r="H13" s="46">
        <v>-4347</v>
      </c>
      <c r="I13" s="46">
        <v>-1457</v>
      </c>
      <c r="J13" s="46">
        <v>17909</v>
      </c>
      <c r="K13" s="46">
        <v>9248</v>
      </c>
      <c r="L13" s="46">
        <v>-7074</v>
      </c>
      <c r="M13" s="46">
        <v>-5630</v>
      </c>
      <c r="N13" s="46">
        <v>3176</v>
      </c>
    </row>
    <row r="14" spans="2:14" x14ac:dyDescent="0.15"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</row>
    <row r="15" spans="2:14" x14ac:dyDescent="0.15">
      <c r="B15" t="s">
        <v>82</v>
      </c>
      <c r="C15" s="43">
        <v>-3665</v>
      </c>
      <c r="D15" s="43">
        <v>-4759</v>
      </c>
      <c r="E15" s="43">
        <v>-4172</v>
      </c>
      <c r="F15" s="43">
        <v>-5026</v>
      </c>
      <c r="G15" s="43">
        <v>-5906</v>
      </c>
      <c r="H15" s="43">
        <v>-7340</v>
      </c>
      <c r="I15" s="43">
        <v>-6896</v>
      </c>
      <c r="J15" s="43">
        <v>-5989</v>
      </c>
      <c r="K15" s="43">
        <v>-6040</v>
      </c>
      <c r="L15" s="43">
        <v>-6305</v>
      </c>
      <c r="M15" s="43">
        <v>-9946</v>
      </c>
      <c r="N15" s="43">
        <v>-10392</v>
      </c>
    </row>
    <row r="16" spans="2:14" x14ac:dyDescent="0.15">
      <c r="B16" t="s">
        <v>83</v>
      </c>
      <c r="C16">
        <v>58</v>
      </c>
      <c r="D16">
        <v>43</v>
      </c>
      <c r="E16">
        <v>59</v>
      </c>
      <c r="F16">
        <v>63</v>
      </c>
      <c r="G16">
        <v>115</v>
      </c>
      <c r="H16">
        <v>142</v>
      </c>
      <c r="I16">
        <v>102</v>
      </c>
      <c r="J16" s="43">
        <v>1364</v>
      </c>
      <c r="K16">
        <v>120</v>
      </c>
      <c r="L16">
        <v>138</v>
      </c>
      <c r="M16">
        <v>273</v>
      </c>
      <c r="N16">
        <v>583</v>
      </c>
    </row>
    <row r="17" spans="2:14" x14ac:dyDescent="0.15">
      <c r="B17" t="s">
        <v>84</v>
      </c>
      <c r="C17" s="43">
        <v>-66102</v>
      </c>
      <c r="D17" s="43">
        <v>-80047</v>
      </c>
      <c r="E17" s="43">
        <v>-87898</v>
      </c>
      <c r="F17" s="43">
        <v>-132173</v>
      </c>
      <c r="G17" s="43">
        <v>-155159</v>
      </c>
      <c r="H17" s="43">
        <v>-196474</v>
      </c>
      <c r="I17" s="43">
        <v>-198568</v>
      </c>
      <c r="J17" s="43">
        <v>-120055</v>
      </c>
      <c r="K17" s="43">
        <v>-65421</v>
      </c>
      <c r="L17" s="43">
        <v>-50165</v>
      </c>
      <c r="M17" s="43">
        <v>-49927</v>
      </c>
      <c r="N17" s="43">
        <v>-90595</v>
      </c>
    </row>
    <row r="18" spans="2:14" x14ac:dyDescent="0.15">
      <c r="B18" t="s">
        <v>85</v>
      </c>
      <c r="C18" s="43">
        <v>64789</v>
      </c>
      <c r="D18" s="43">
        <v>79778</v>
      </c>
      <c r="E18" s="43">
        <v>86436</v>
      </c>
      <c r="F18" s="43">
        <v>130940</v>
      </c>
      <c r="G18" s="43">
        <v>154631</v>
      </c>
      <c r="H18" s="43">
        <v>195898</v>
      </c>
      <c r="I18" s="43">
        <v>198132</v>
      </c>
      <c r="J18" s="43">
        <v>111749</v>
      </c>
      <c r="K18" s="43">
        <v>65127</v>
      </c>
      <c r="L18" s="43">
        <v>46269</v>
      </c>
      <c r="M18" s="43">
        <v>50919</v>
      </c>
      <c r="N18" s="43">
        <v>85257</v>
      </c>
    </row>
    <row r="19" spans="2:14" x14ac:dyDescent="0.15">
      <c r="B19" t="s">
        <v>86</v>
      </c>
      <c r="C19">
        <v>231</v>
      </c>
      <c r="D19">
        <v>356</v>
      </c>
      <c r="E19">
        <v>311</v>
      </c>
      <c r="F19">
        <v>346</v>
      </c>
      <c r="G19">
        <v>254</v>
      </c>
      <c r="H19">
        <v>314</v>
      </c>
      <c r="I19">
        <v>372</v>
      </c>
      <c r="J19">
        <v>431</v>
      </c>
      <c r="K19">
        <v>420</v>
      </c>
      <c r="L19">
        <v>464</v>
      </c>
      <c r="M19">
        <v>703</v>
      </c>
      <c r="N19">
        <v>884</v>
      </c>
    </row>
    <row r="20" spans="2:14" x14ac:dyDescent="0.15">
      <c r="B20" t="s">
        <v>87</v>
      </c>
      <c r="C20">
        <v>24</v>
      </c>
      <c r="D20">
        <v>169</v>
      </c>
      <c r="E20">
        <v>208</v>
      </c>
      <c r="F20">
        <v>409</v>
      </c>
      <c r="G20">
        <v>316</v>
      </c>
      <c r="H20">
        <v>466</v>
      </c>
      <c r="I20">
        <v>722</v>
      </c>
      <c r="J20">
        <v>577</v>
      </c>
      <c r="K20" s="43">
        <v>1247</v>
      </c>
      <c r="L20" s="43">
        <v>1397</v>
      </c>
      <c r="M20" s="43">
        <v>1213</v>
      </c>
      <c r="N20" s="43">
        <v>1374</v>
      </c>
    </row>
    <row r="21" spans="2:14" x14ac:dyDescent="0.15">
      <c r="B21" t="s">
        <v>88</v>
      </c>
      <c r="C21">
        <v>0</v>
      </c>
      <c r="D21">
        <v>0</v>
      </c>
      <c r="E21">
        <v>-147</v>
      </c>
      <c r="F21">
        <v>-647</v>
      </c>
      <c r="G21">
        <v>-704</v>
      </c>
      <c r="H21">
        <v>-319</v>
      </c>
      <c r="I21">
        <v>-418</v>
      </c>
      <c r="J21">
        <v>-359</v>
      </c>
      <c r="K21">
        <v>-222</v>
      </c>
      <c r="L21">
        <v>-62</v>
      </c>
      <c r="M21">
        <v>-249</v>
      </c>
      <c r="N21">
        <v>-29</v>
      </c>
    </row>
    <row r="22" spans="2:14" x14ac:dyDescent="0.15">
      <c r="B22" t="s">
        <v>89</v>
      </c>
      <c r="C22">
        <v>-21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2:14" x14ac:dyDescent="0.15">
      <c r="B23" t="s">
        <v>90</v>
      </c>
      <c r="C23">
        <v>0</v>
      </c>
      <c r="D23">
        <v>401</v>
      </c>
      <c r="E23">
        <v>0</v>
      </c>
      <c r="F23">
        <v>88</v>
      </c>
      <c r="G23" s="43">
        <v>1677</v>
      </c>
      <c r="H23">
        <v>717</v>
      </c>
      <c r="I23">
        <v>175</v>
      </c>
      <c r="J23">
        <v>316</v>
      </c>
      <c r="K23">
        <v>617</v>
      </c>
      <c r="L23" s="43">
        <v>1863</v>
      </c>
      <c r="M23" s="43">
        <v>1043</v>
      </c>
      <c r="N23">
        <v>620</v>
      </c>
    </row>
    <row r="24" spans="2:14" x14ac:dyDescent="0.15">
      <c r="B24" t="s">
        <v>91</v>
      </c>
      <c r="C24">
        <v>0</v>
      </c>
      <c r="D24">
        <v>0</v>
      </c>
      <c r="E24">
        <v>-208</v>
      </c>
      <c r="F24">
        <v>-83</v>
      </c>
      <c r="G24">
        <v>-401</v>
      </c>
      <c r="H24">
        <v>0</v>
      </c>
      <c r="I24">
        <v>-59</v>
      </c>
      <c r="J24">
        <v>0</v>
      </c>
      <c r="K24">
        <v>-42</v>
      </c>
      <c r="L24">
        <v>-587</v>
      </c>
      <c r="M24">
        <v>-53</v>
      </c>
      <c r="N24">
        <v>0</v>
      </c>
    </row>
    <row r="25" spans="2:14" x14ac:dyDescent="0.15">
      <c r="B25" t="s">
        <v>92</v>
      </c>
      <c r="C25">
        <v>86</v>
      </c>
      <c r="D25">
        <v>-22</v>
      </c>
      <c r="E25">
        <v>0</v>
      </c>
      <c r="F25">
        <v>0</v>
      </c>
      <c r="G25">
        <v>0</v>
      </c>
      <c r="H25">
        <v>0</v>
      </c>
      <c r="I25">
        <v>6</v>
      </c>
      <c r="J25">
        <v>-262</v>
      </c>
      <c r="K25">
        <v>-552</v>
      </c>
      <c r="L25">
        <v>-93</v>
      </c>
      <c r="M25">
        <v>485</v>
      </c>
      <c r="N25">
        <v>-244</v>
      </c>
    </row>
    <row r="26" spans="2:14" x14ac:dyDescent="0.15">
      <c r="B26" t="s">
        <v>93</v>
      </c>
      <c r="C26">
        <v>77</v>
      </c>
      <c r="D26">
        <v>-275</v>
      </c>
      <c r="E26">
        <v>-94</v>
      </c>
      <c r="F26">
        <v>209</v>
      </c>
      <c r="G26">
        <v>-290</v>
      </c>
      <c r="H26">
        <v>-577</v>
      </c>
      <c r="I26">
        <v>-437</v>
      </c>
      <c r="J26" s="43">
        <v>-7457</v>
      </c>
      <c r="K26" s="43">
        <v>1494</v>
      </c>
      <c r="L26" s="43">
        <v>-1786</v>
      </c>
      <c r="M26">
        <v>-78</v>
      </c>
      <c r="N26" s="43">
        <v>-6075</v>
      </c>
    </row>
    <row r="27" spans="2:14" x14ac:dyDescent="0.15">
      <c r="B27" s="21" t="s">
        <v>103</v>
      </c>
      <c r="C27" s="46">
        <v>-4524</v>
      </c>
      <c r="D27" s="46">
        <v>-4357</v>
      </c>
      <c r="E27" s="46">
        <v>-5506</v>
      </c>
      <c r="F27" s="46">
        <v>-5875</v>
      </c>
      <c r="G27" s="46">
        <v>-5467</v>
      </c>
      <c r="H27" s="46">
        <v>-7174</v>
      </c>
      <c r="I27" s="46">
        <v>-6870</v>
      </c>
      <c r="J27" s="46">
        <v>-19686</v>
      </c>
      <c r="K27" s="46">
        <v>-3252</v>
      </c>
      <c r="L27" s="46">
        <v>-8866</v>
      </c>
      <c r="M27" s="46">
        <v>-5615</v>
      </c>
      <c r="N27" s="46">
        <v>-18616</v>
      </c>
    </row>
    <row r="29" spans="2:14" x14ac:dyDescent="0.15">
      <c r="B29" t="s">
        <v>94</v>
      </c>
      <c r="C29">
        <v>184</v>
      </c>
      <c r="D29">
        <v>3</v>
      </c>
      <c r="E29">
        <v>18</v>
      </c>
      <c r="F29">
        <v>12</v>
      </c>
      <c r="G29">
        <v>4</v>
      </c>
      <c r="H29">
        <v>1</v>
      </c>
      <c r="I29" s="43">
        <v>1243</v>
      </c>
      <c r="J29">
        <v>1</v>
      </c>
      <c r="K29">
        <v>1</v>
      </c>
      <c r="L29">
        <v>1</v>
      </c>
      <c r="M29">
        <v>1</v>
      </c>
      <c r="N29">
        <v>1</v>
      </c>
    </row>
    <row r="30" spans="2:14" x14ac:dyDescent="0.15">
      <c r="B30" t="s">
        <v>95</v>
      </c>
      <c r="C30">
        <v>-171</v>
      </c>
      <c r="D30">
        <v>0</v>
      </c>
      <c r="E30">
        <v>0</v>
      </c>
      <c r="F30">
        <v>0</v>
      </c>
      <c r="G30">
        <v>0</v>
      </c>
      <c r="H30" s="43">
        <v>71389</v>
      </c>
      <c r="I30" s="43">
        <v>52618</v>
      </c>
      <c r="J30" s="43">
        <v>38100</v>
      </c>
      <c r="K30" s="43">
        <v>53880</v>
      </c>
      <c r="L30" s="43">
        <v>55622</v>
      </c>
      <c r="M30" s="43">
        <v>61308</v>
      </c>
      <c r="N30" s="43">
        <v>82590</v>
      </c>
    </row>
    <row r="31" spans="2:14" x14ac:dyDescent="0.15">
      <c r="B31" t="s">
        <v>96</v>
      </c>
      <c r="C31">
        <v>0</v>
      </c>
      <c r="D31">
        <v>0</v>
      </c>
      <c r="E31">
        <v>0</v>
      </c>
      <c r="F31">
        <v>0</v>
      </c>
      <c r="G31">
        <v>0</v>
      </c>
      <c r="H31" s="43">
        <v>-56352</v>
      </c>
      <c r="I31" s="43">
        <v>-44044</v>
      </c>
      <c r="J31" s="43">
        <v>-37505</v>
      </c>
      <c r="K31" s="43">
        <v>-57223</v>
      </c>
      <c r="L31" s="43">
        <v>-37056</v>
      </c>
      <c r="M31" s="43">
        <v>-46805</v>
      </c>
      <c r="N31" s="43">
        <v>-64689</v>
      </c>
    </row>
    <row r="32" spans="2:14" x14ac:dyDescent="0.15">
      <c r="B32" t="s">
        <v>97</v>
      </c>
      <c r="C32">
        <v>-583</v>
      </c>
      <c r="D32">
        <v>-489</v>
      </c>
      <c r="E32">
        <v>-443</v>
      </c>
      <c r="F32">
        <v>-471</v>
      </c>
      <c r="G32">
        <v>-521</v>
      </c>
      <c r="H32">
        <v>-723</v>
      </c>
      <c r="I32">
        <v>-624</v>
      </c>
      <c r="J32">
        <v>-809</v>
      </c>
      <c r="K32">
        <v>-680</v>
      </c>
      <c r="L32">
        <v>-734</v>
      </c>
      <c r="M32">
        <v>-597</v>
      </c>
      <c r="N32">
        <v>-436</v>
      </c>
    </row>
    <row r="33" spans="2:14" x14ac:dyDescent="0.15">
      <c r="B33" t="s">
        <v>98</v>
      </c>
      <c r="C33" s="43">
        <v>-1094</v>
      </c>
      <c r="D33" s="43">
        <v>-1200</v>
      </c>
      <c r="E33">
        <v>-932</v>
      </c>
      <c r="F33">
        <v>-936</v>
      </c>
      <c r="G33">
        <v>-963</v>
      </c>
      <c r="H33" s="43">
        <v>-1134</v>
      </c>
      <c r="I33" s="43">
        <v>-1398</v>
      </c>
      <c r="J33">
        <v>-271</v>
      </c>
      <c r="K33" s="43">
        <v>-1037</v>
      </c>
      <c r="L33" s="43">
        <v>-1522</v>
      </c>
      <c r="M33" s="43">
        <v>-2247</v>
      </c>
      <c r="N33" s="43">
        <v>-2806</v>
      </c>
    </row>
    <row r="34" spans="2:14" x14ac:dyDescent="0.15">
      <c r="B34" t="s">
        <v>99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-558</v>
      </c>
      <c r="J34">
        <v>-553</v>
      </c>
      <c r="K34">
        <v>-583</v>
      </c>
      <c r="L34">
        <v>-751</v>
      </c>
      <c r="M34">
        <v>-786</v>
      </c>
      <c r="N34">
        <v>-887</v>
      </c>
    </row>
    <row r="35" spans="2:14" x14ac:dyDescent="0.15">
      <c r="B35" t="s">
        <v>100</v>
      </c>
      <c r="C35" s="43">
        <v>7242</v>
      </c>
      <c r="D35" s="43">
        <v>3355</v>
      </c>
      <c r="E35" s="43">
        <v>4324</v>
      </c>
      <c r="F35" s="43">
        <v>7503</v>
      </c>
      <c r="G35" s="43">
        <v>7794</v>
      </c>
      <c r="H35">
        <v>12</v>
      </c>
      <c r="I35">
        <v>-304</v>
      </c>
      <c r="J35" s="43">
        <v>1444</v>
      </c>
      <c r="K35">
        <v>-240</v>
      </c>
      <c r="L35">
        <v>386</v>
      </c>
      <c r="M35" s="43">
        <v>1408</v>
      </c>
      <c r="N35" s="43">
        <v>2062</v>
      </c>
    </row>
    <row r="36" spans="2:14" x14ac:dyDescent="0.15">
      <c r="B36" s="21" t="s">
        <v>104</v>
      </c>
      <c r="C36" s="46">
        <v>5577</v>
      </c>
      <c r="D36" s="46">
        <v>1669</v>
      </c>
      <c r="E36" s="46">
        <v>2967</v>
      </c>
      <c r="F36" s="46">
        <v>6108</v>
      </c>
      <c r="G36" s="46">
        <v>6314</v>
      </c>
      <c r="H36" s="46">
        <v>13194</v>
      </c>
      <c r="I36" s="46">
        <v>6933</v>
      </c>
      <c r="J36" s="21">
        <v>406</v>
      </c>
      <c r="K36" s="46">
        <v>-5883</v>
      </c>
      <c r="L36" s="46">
        <v>15946</v>
      </c>
      <c r="M36" s="46">
        <v>12281</v>
      </c>
      <c r="N36" s="46">
        <v>15834</v>
      </c>
    </row>
    <row r="38" spans="2:14" x14ac:dyDescent="0.15">
      <c r="B38" t="s">
        <v>52</v>
      </c>
      <c r="C38">
        <v>810</v>
      </c>
      <c r="D38" s="43">
        <v>-1633</v>
      </c>
      <c r="E38">
        <v>-154</v>
      </c>
      <c r="F38">
        <v>416</v>
      </c>
      <c r="G38" s="43">
        <v>1529</v>
      </c>
      <c r="H38" s="43">
        <v>1672</v>
      </c>
      <c r="I38" s="43">
        <v>-1394</v>
      </c>
      <c r="J38" s="43">
        <v>-1370</v>
      </c>
      <c r="K38">
        <v>113</v>
      </c>
      <c r="L38">
        <v>6</v>
      </c>
      <c r="M38" s="43">
        <v>1037</v>
      </c>
      <c r="N38">
        <v>394</v>
      </c>
    </row>
    <row r="40" spans="2:14" x14ac:dyDescent="0.15"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</row>
    <row r="42" spans="2:14" x14ac:dyDescent="0.15">
      <c r="C42" s="43"/>
      <c r="D42" s="43"/>
      <c r="E42" s="43"/>
      <c r="F42" s="43"/>
      <c r="G42" s="43"/>
      <c r="H42" s="43"/>
      <c r="I42" s="43"/>
      <c r="J42" s="4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Financials&gt;</vt:lpstr>
      <vt:lpstr>Financial Statements</vt:lpstr>
      <vt:lpstr>Historicals&gt;</vt:lpstr>
      <vt:lpstr>DATA&gt;</vt:lpstr>
      <vt:lpstr>Data Sheet</vt:lpstr>
      <vt:lpstr>Raw CF Data</vt:lpstr>
      <vt:lpstr>UPDATE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hasim yasin</cp:lastModifiedBy>
  <dcterms:created xsi:type="dcterms:W3CDTF">2026-01-12T07:06:57Z</dcterms:created>
  <dcterms:modified xsi:type="dcterms:W3CDTF">2026-01-12T12:27:22Z</dcterms:modified>
</cp:coreProperties>
</file>